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fe\Desktop\envr-footprint-healthcare2025\data\"/>
    </mc:Choice>
  </mc:AlternateContent>
  <xr:revisionPtr revIDLastSave="0" documentId="13_ncr:1_{86457E56-9AED-4DE2-BDF2-E7844D923F8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rivate travel calculations" sheetId="1" r:id="rId1"/>
    <sheet name="Modal commuting  NL" sheetId="2" r:id="rId2"/>
    <sheet name="Modal commuting DK" sheetId="4" r:id="rId3"/>
    <sheet name="Errand travel construction (NL " sheetId="3" r:id="rId4"/>
    <sheet name="Distance comparison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5" l="1"/>
  <c r="D5" i="5" s="1"/>
  <c r="D2" i="5"/>
  <c r="D4" i="5"/>
  <c r="B5" i="4"/>
  <c r="B8" i="2"/>
  <c r="E15" i="1"/>
  <c r="E14" i="1"/>
  <c r="D12" i="1"/>
  <c r="E13" i="1" s="1"/>
  <c r="E16" i="1" s="1"/>
  <c r="E7" i="1"/>
  <c r="E4" i="1"/>
  <c r="E3" i="1"/>
  <c r="E2" i="1"/>
  <c r="E5" i="1" l="1"/>
  <c r="E17" i="1"/>
</calcChain>
</file>

<file path=xl/sharedStrings.xml><?xml version="1.0" encoding="utf-8"?>
<sst xmlns="http://schemas.openxmlformats.org/spreadsheetml/2006/main" count="57" uniqueCount="48">
  <si>
    <t>Mode of transport</t>
  </si>
  <si>
    <t>Car (driver)</t>
  </si>
  <si>
    <t>Car (passenger)</t>
  </si>
  <si>
    <t>Train</t>
  </si>
  <si>
    <t>Bus/tram/metro</t>
  </si>
  <si>
    <t>Scooter/moped</t>
  </si>
  <si>
    <t>Table 20: Mileage (PKM) by mode and purpose group</t>
  </si>
  <si>
    <t>Sum car</t>
  </si>
  <si>
    <t>Services/care</t>
  </si>
  <si>
    <t>Denmark</t>
  </si>
  <si>
    <t>Commuting</t>
  </si>
  <si>
    <t>Category</t>
  </si>
  <si>
    <t>Component</t>
  </si>
  <si>
    <t>Netherlands</t>
  </si>
  <si>
    <t>Ratio</t>
  </si>
  <si>
    <t>Healthcare employees</t>
  </si>
  <si>
    <t>Weekly work hours</t>
  </si>
  <si>
    <t>Daily commuting distance (km)</t>
  </si>
  <si>
    <t>Patient &amp; visitor travel</t>
  </si>
  <si>
    <t>Errands/services</t>
  </si>
  <si>
    <t>Errand components (NL)</t>
  </si>
  <si>
    <t>Services / care</t>
  </si>
  <si>
    <t>Shopping / groceries</t>
  </si>
  <si>
    <t>Education / childcare</t>
  </si>
  <si>
    <t>Total errands (NL)</t>
  </si>
  <si>
    <t>Total errands (DK)</t>
  </si>
  <si>
    <t>Commuting distance</t>
  </si>
  <si>
    <t>Distance scaling (mean)</t>
  </si>
  <si>
    <t>Final patient and visitor ratio</t>
  </si>
  <si>
    <t>Total travel distance (across all purposes)</t>
  </si>
  <si>
    <t>Mileage per day (km)</t>
  </si>
  <si>
    <t>Total (NL commuting distance)</t>
  </si>
  <si>
    <t>Errand category</t>
  </si>
  <si>
    <t>NL distance (km)</t>
  </si>
  <si>
    <t>DK distance (km)</t>
  </si>
  <si>
    <t>Shopping/grocery</t>
  </si>
  <si>
    <t>Education/childcare</t>
  </si>
  <si>
    <t>Total (NL)</t>
  </si>
  <si>
    <t>Total (DK)</t>
  </si>
  <si>
    <t>Ratio (DK/NL)</t>
  </si>
  <si>
    <t>Sum collective (road)</t>
  </si>
  <si>
    <t>Sum train</t>
  </si>
  <si>
    <t>Total (DK commuting distance)</t>
  </si>
  <si>
    <t>TU annual report Denmark 2019, page 16</t>
  </si>
  <si>
    <t>Total travel</t>
  </si>
  <si>
    <t>Mean scaling factor</t>
  </si>
  <si>
    <t>Final commuting ratio</t>
  </si>
  <si>
    <t>Statistics Netherlands. Mobility by mode and purpose. The Hague: CBS;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</si>
</sst>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#.00"/>
  </numFmts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rgb="FFE6E6E6"/>
      </left>
      <right style="medium">
        <color indexed="64"/>
      </right>
      <top style="medium">
        <color rgb="FFE6E6E6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0" borderId="4" xfId="0" applyFont="1" applyBorder="1" applyAlignment="1">
      <alignment vertical="center" wrapText="1"/>
    </xf>
    <xf numFmtId="0" fontId="2" fillId="0" borderId="0" xfId="0" applyFont="1"/>
    <xf numFmtId="0" fontId="2" fillId="0" borderId="4" xfId="0" applyFont="1" applyBorder="1" applyAlignment="1">
      <alignment vertical="center" wrapText="1"/>
    </xf>
    <xf numFmtId="176" fontId="2" fillId="0" borderId="4" xfId="0" applyNumberFormat="1" applyFont="1" applyBorder="1" applyAlignment="1">
      <alignment vertical="center" wrapText="1"/>
    </xf>
    <xf numFmtId="0" fontId="3" fillId="2" borderId="4" xfId="0" applyFont="1" applyFill="1" applyBorder="1" applyAlignment="1">
      <alignment horizontal="center" vertical="center" wrapText="1"/>
    </xf>
    <xf numFmtId="176" fontId="3" fillId="0" borderId="4" xfId="0" applyNumberFormat="1" applyFont="1" applyBorder="1" applyAlignment="1">
      <alignment vertical="center" wrapText="1"/>
    </xf>
    <xf numFmtId="3" fontId="3" fillId="0" borderId="4" xfId="0" applyNumberFormat="1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2" fillId="0" borderId="5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2" fillId="0" borderId="0" xfId="0" applyFont="1" applyBorder="1" applyAlignment="1">
      <alignment wrapText="1"/>
    </xf>
    <xf numFmtId="0" fontId="2" fillId="0" borderId="9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3" fillId="0" borderId="0" xfId="0" applyFont="1" applyBorder="1" applyAlignment="1">
      <alignment wrapText="1"/>
    </xf>
    <xf numFmtId="0" fontId="3" fillId="0" borderId="9" xfId="0" applyFont="1" applyBorder="1" applyAlignment="1">
      <alignment wrapText="1"/>
    </xf>
    <xf numFmtId="0" fontId="2" fillId="0" borderId="8" xfId="0" applyFont="1" applyBorder="1"/>
    <xf numFmtId="0" fontId="2" fillId="0" borderId="0" xfId="0" applyFont="1" applyBorder="1"/>
    <xf numFmtId="0" fontId="2" fillId="0" borderId="9" xfId="0" applyFont="1" applyBorder="1"/>
    <xf numFmtId="0" fontId="3" fillId="0" borderId="1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0" borderId="10" xfId="0" applyFont="1" applyBorder="1" applyAlignment="1">
      <alignment vertical="center" wrapText="1"/>
    </xf>
    <xf numFmtId="0" fontId="4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6EBF047-D9BD-4667-A83B-712B56351DC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5"/>
  <sheetViews>
    <sheetView tabSelected="1" zoomScale="115" zoomScaleNormal="115" workbookViewId="0">
      <selection activeCell="G23" sqref="G23"/>
    </sheetView>
  </sheetViews>
  <sheetFormatPr defaultRowHeight="14.4" x14ac:dyDescent="0.3"/>
  <cols>
    <col min="1" max="1" width="19.44140625" bestFit="1" customWidth="1"/>
    <col min="2" max="2" width="25.109375" bestFit="1" customWidth="1"/>
    <col min="3" max="3" width="8.44140625" bestFit="1" customWidth="1"/>
    <col min="4" max="4" width="10.88671875" bestFit="1" customWidth="1"/>
    <col min="5" max="5" width="13.109375" bestFit="1" customWidth="1"/>
    <col min="6" max="6" width="14.5546875" customWidth="1"/>
    <col min="7" max="7" width="14.21875" customWidth="1"/>
    <col min="8" max="8" width="15.88671875" customWidth="1"/>
    <col min="9" max="9" width="17.109375" customWidth="1"/>
    <col min="10" max="10" width="17.21875" customWidth="1"/>
    <col min="11" max="11" width="13.77734375" bestFit="1" customWidth="1"/>
    <col min="12" max="12" width="12.77734375" bestFit="1" customWidth="1"/>
    <col min="13" max="13" width="16.5546875" customWidth="1"/>
    <col min="14" max="14" width="11.6640625" bestFit="1" customWidth="1"/>
    <col min="15" max="15" width="8.77734375" bestFit="1" customWidth="1"/>
    <col min="17" max="17" width="12.44140625" bestFit="1" customWidth="1"/>
  </cols>
  <sheetData>
    <row r="1" spans="1:24" x14ac:dyDescent="0.3">
      <c r="A1" s="12" t="s">
        <v>11</v>
      </c>
      <c r="B1" s="13" t="s">
        <v>12</v>
      </c>
      <c r="C1" s="13" t="s">
        <v>9</v>
      </c>
      <c r="D1" s="13" t="s">
        <v>13</v>
      </c>
      <c r="E1" s="14" t="s">
        <v>14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3">
      <c r="A2" s="15" t="s">
        <v>10</v>
      </c>
      <c r="B2" s="16" t="s">
        <v>15</v>
      </c>
      <c r="C2" s="16">
        <v>524000</v>
      </c>
      <c r="D2" s="16">
        <v>1220750</v>
      </c>
      <c r="E2" s="17">
        <f>C2/D2</f>
        <v>0.42924431701822652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3">
      <c r="A3" s="15"/>
      <c r="B3" s="16" t="s">
        <v>16</v>
      </c>
      <c r="C3" s="16">
        <v>34.4</v>
      </c>
      <c r="D3" s="16">
        <v>29.2</v>
      </c>
      <c r="E3" s="17">
        <f>C3/D3</f>
        <v>1.178082191780822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5" thickBot="1" x14ac:dyDescent="0.35">
      <c r="A4" s="15"/>
      <c r="B4" s="16" t="s">
        <v>17</v>
      </c>
      <c r="C4" s="16">
        <v>8.5</v>
      </c>
      <c r="D4" s="16">
        <v>7.88</v>
      </c>
      <c r="E4" s="17">
        <f>C4/D4</f>
        <v>1.0786802030456852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5" thickBot="1" x14ac:dyDescent="0.35">
      <c r="A5" s="24"/>
      <c r="B5" s="25" t="s">
        <v>46</v>
      </c>
      <c r="C5" s="25"/>
      <c r="D5" s="25"/>
      <c r="E5" s="27">
        <f>E2*E3*E4</f>
        <v>0.54547249103039364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5" thickBot="1" x14ac:dyDescent="0.35">
      <c r="A6" s="3"/>
      <c r="B6" s="3"/>
      <c r="C6" s="3"/>
      <c r="D6" s="3"/>
      <c r="E6" s="1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x14ac:dyDescent="0.3">
      <c r="A7" s="12" t="s">
        <v>18</v>
      </c>
      <c r="B7" s="13" t="s">
        <v>15</v>
      </c>
      <c r="C7" s="13">
        <v>524000</v>
      </c>
      <c r="D7" s="13">
        <v>1220750</v>
      </c>
      <c r="E7" s="14">
        <f>C7/D7</f>
        <v>0.42924431701822652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x14ac:dyDescent="0.3">
      <c r="A8" s="15"/>
      <c r="B8" s="16" t="s">
        <v>20</v>
      </c>
      <c r="C8" s="16"/>
      <c r="D8" s="16"/>
      <c r="E8" s="17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15.6" x14ac:dyDescent="0.3">
      <c r="A9" s="18"/>
      <c r="B9" s="16" t="s">
        <v>21</v>
      </c>
      <c r="C9" s="19"/>
      <c r="D9" s="19">
        <v>0.75</v>
      </c>
      <c r="E9" s="20"/>
      <c r="F9" s="2"/>
      <c r="G9" s="2"/>
      <c r="H9" s="2"/>
      <c r="I9" s="2"/>
      <c r="J9" s="2"/>
      <c r="K9" s="2"/>
      <c r="L9" s="2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x14ac:dyDescent="0.3">
      <c r="A10" s="15"/>
      <c r="B10" s="16" t="s">
        <v>22</v>
      </c>
      <c r="C10" s="16"/>
      <c r="D10" s="16">
        <v>2.54</v>
      </c>
      <c r="E10" s="17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x14ac:dyDescent="0.3">
      <c r="A11" s="18"/>
      <c r="B11" s="16" t="s">
        <v>23</v>
      </c>
      <c r="C11" s="16"/>
      <c r="D11" s="16">
        <v>2.13</v>
      </c>
      <c r="E11" s="17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x14ac:dyDescent="0.3">
      <c r="A12" s="15"/>
      <c r="B12" s="16" t="s">
        <v>24</v>
      </c>
      <c r="C12" s="16"/>
      <c r="D12" s="16">
        <f>D9+D10+D11</f>
        <v>5.42</v>
      </c>
      <c r="E12" s="17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x14ac:dyDescent="0.3">
      <c r="A13" s="15"/>
      <c r="B13" s="16" t="s">
        <v>25</v>
      </c>
      <c r="C13" s="16">
        <v>7.6</v>
      </c>
      <c r="D13" s="16"/>
      <c r="E13" s="17">
        <f>C13/D12</f>
        <v>1.4022140221402213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x14ac:dyDescent="0.3">
      <c r="A14" s="21"/>
      <c r="B14" s="16" t="s">
        <v>26</v>
      </c>
      <c r="C14" s="22">
        <v>8.5</v>
      </c>
      <c r="D14" s="16">
        <v>7.88</v>
      </c>
      <c r="E14" s="23">
        <f>C14/D14</f>
        <v>1.0786802030456852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27" x14ac:dyDescent="0.3">
      <c r="A15" s="21"/>
      <c r="B15" s="16" t="s">
        <v>29</v>
      </c>
      <c r="C15" s="22">
        <v>38</v>
      </c>
      <c r="D15" s="16">
        <v>29.38</v>
      </c>
      <c r="E15" s="23">
        <f>C15/D15</f>
        <v>1.2933968686181077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x14ac:dyDescent="0.3">
      <c r="A16" s="21"/>
      <c r="B16" s="16" t="s">
        <v>27</v>
      </c>
      <c r="C16" s="22"/>
      <c r="D16" s="22"/>
      <c r="E16" s="23">
        <f>(E13+E14+E15)/3</f>
        <v>1.2580970312680047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27.6" thickBot="1" x14ac:dyDescent="0.35">
      <c r="A17" s="24"/>
      <c r="B17" s="25" t="s">
        <v>28</v>
      </c>
      <c r="C17" s="25"/>
      <c r="D17" s="25"/>
      <c r="E17" s="26">
        <f>E16*E7</f>
        <v>0.54003100092929301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D1634-C682-402A-B94B-B6B0B03D916F}">
  <dimension ref="A1:B11"/>
  <sheetViews>
    <sheetView workbookViewId="0">
      <selection activeCell="F13" sqref="F13"/>
    </sheetView>
  </sheetViews>
  <sheetFormatPr defaultRowHeight="14.4" x14ac:dyDescent="0.3"/>
  <cols>
    <col min="1" max="1" width="27.88671875" customWidth="1"/>
    <col min="2" max="2" width="19.77734375" bestFit="1" customWidth="1"/>
  </cols>
  <sheetData>
    <row r="1" spans="1:2" ht="15" thickBot="1" x14ac:dyDescent="0.35">
      <c r="A1" s="6" t="s">
        <v>0</v>
      </c>
      <c r="B1" s="6" t="s">
        <v>30</v>
      </c>
    </row>
    <row r="2" spans="1:2" ht="15" thickBot="1" x14ac:dyDescent="0.35">
      <c r="A2" s="6" t="s">
        <v>1</v>
      </c>
      <c r="B2" s="6">
        <v>6.24</v>
      </c>
    </row>
    <row r="3" spans="1:2" ht="15" thickBot="1" x14ac:dyDescent="0.35">
      <c r="A3" s="6" t="s">
        <v>2</v>
      </c>
      <c r="B3" s="6">
        <v>0.46</v>
      </c>
    </row>
    <row r="4" spans="1:2" ht="15" thickBot="1" x14ac:dyDescent="0.35">
      <c r="A4" s="8" t="s">
        <v>7</v>
      </c>
      <c r="B4" s="4">
        <v>6.7</v>
      </c>
    </row>
    <row r="5" spans="1:2" ht="15" thickBot="1" x14ac:dyDescent="0.35">
      <c r="A5" s="6" t="s">
        <v>3</v>
      </c>
      <c r="B5" s="6">
        <v>0.84</v>
      </c>
    </row>
    <row r="6" spans="1:2" ht="15" thickBot="1" x14ac:dyDescent="0.35">
      <c r="A6" s="6" t="s">
        <v>4</v>
      </c>
      <c r="B6" s="6">
        <v>0.26</v>
      </c>
    </row>
    <row r="7" spans="1:2" ht="15" thickBot="1" x14ac:dyDescent="0.35">
      <c r="A7" s="6" t="s">
        <v>5</v>
      </c>
      <c r="B7" s="6">
        <v>0.08</v>
      </c>
    </row>
    <row r="8" spans="1:2" ht="21" customHeight="1" thickBot="1" x14ac:dyDescent="0.35">
      <c r="A8" s="8" t="s">
        <v>31</v>
      </c>
      <c r="B8" s="4">
        <f>SUM(B4:B7)</f>
        <v>7.88</v>
      </c>
    </row>
    <row r="11" spans="1:2" x14ac:dyDescent="0.3">
      <c r="A11" s="28" t="s">
        <v>47</v>
      </c>
    </row>
  </sheetData>
  <pageMargins left="0.7" right="0.7" top="0.75" bottom="0.75" header="0.3" footer="0.3"/>
  <pageSetup paperSize="9" orientation="portrait" r:id="rId1"/>
  <ignoredErrors>
    <ignoredError sqref="B8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80B52-53D1-4686-A759-153FD4A8CD3D}">
  <dimension ref="A1:B9"/>
  <sheetViews>
    <sheetView workbookViewId="0">
      <selection activeCell="B20" sqref="B20"/>
    </sheetView>
  </sheetViews>
  <sheetFormatPr defaultRowHeight="13.2" x14ac:dyDescent="0.25"/>
  <cols>
    <col min="1" max="1" width="30.88671875" style="5" bestFit="1" customWidth="1"/>
    <col min="2" max="2" width="19.6640625" style="5" customWidth="1"/>
    <col min="3" max="16384" width="8.88671875" style="5"/>
  </cols>
  <sheetData>
    <row r="1" spans="1:2" ht="13.8" thickBot="1" x14ac:dyDescent="0.3">
      <c r="A1" s="6" t="s">
        <v>0</v>
      </c>
      <c r="B1" s="6" t="s">
        <v>30</v>
      </c>
    </row>
    <row r="2" spans="1:2" ht="13.8" thickBot="1" x14ac:dyDescent="0.3">
      <c r="A2" s="8" t="s">
        <v>7</v>
      </c>
      <c r="B2" s="4">
        <v>7.5</v>
      </c>
    </row>
    <row r="3" spans="1:2" ht="13.8" thickBot="1" x14ac:dyDescent="0.3">
      <c r="A3" s="6" t="s">
        <v>40</v>
      </c>
      <c r="B3" s="6">
        <v>0.2</v>
      </c>
    </row>
    <row r="4" spans="1:2" ht="13.8" thickBot="1" x14ac:dyDescent="0.3">
      <c r="A4" s="6" t="s">
        <v>41</v>
      </c>
      <c r="B4" s="6">
        <v>0.8</v>
      </c>
    </row>
    <row r="5" spans="1:2" ht="13.8" thickBot="1" x14ac:dyDescent="0.3">
      <c r="A5" s="8" t="s">
        <v>42</v>
      </c>
      <c r="B5" s="4">
        <f>SUM(B2:B4)</f>
        <v>8.5</v>
      </c>
    </row>
    <row r="8" spans="1:2" x14ac:dyDescent="0.25">
      <c r="A8" s="5" t="s">
        <v>43</v>
      </c>
    </row>
    <row r="9" spans="1:2" x14ac:dyDescent="0.25">
      <c r="A9" s="5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62052-705E-4D8D-BE75-EB51F42D10F7}">
  <dimension ref="A1:C7"/>
  <sheetViews>
    <sheetView workbookViewId="0">
      <selection activeCell="D8" sqref="D8"/>
    </sheetView>
  </sheetViews>
  <sheetFormatPr defaultRowHeight="13.2" x14ac:dyDescent="0.25"/>
  <cols>
    <col min="1" max="1" width="18.33203125" style="5" bestFit="1" customWidth="1"/>
    <col min="2" max="2" width="15.6640625" style="5" bestFit="1" customWidth="1"/>
    <col min="3" max="3" width="15.88671875" style="5" bestFit="1" customWidth="1"/>
    <col min="4" max="16384" width="8.88671875" style="5"/>
  </cols>
  <sheetData>
    <row r="1" spans="1:3" ht="13.8" thickBot="1" x14ac:dyDescent="0.3">
      <c r="A1" s="6" t="s">
        <v>32</v>
      </c>
      <c r="B1" s="6" t="s">
        <v>33</v>
      </c>
      <c r="C1" s="6" t="s">
        <v>34</v>
      </c>
    </row>
    <row r="2" spans="1:3" ht="13.8" thickBot="1" x14ac:dyDescent="0.3">
      <c r="A2" s="6" t="s">
        <v>8</v>
      </c>
      <c r="B2" s="6">
        <v>0.75</v>
      </c>
      <c r="C2" s="6"/>
    </row>
    <row r="3" spans="1:3" ht="13.8" thickBot="1" x14ac:dyDescent="0.3">
      <c r="A3" s="6" t="s">
        <v>35</v>
      </c>
      <c r="B3" s="6">
        <v>2.54</v>
      </c>
      <c r="C3" s="6"/>
    </row>
    <row r="4" spans="1:3" ht="13.8" thickBot="1" x14ac:dyDescent="0.3">
      <c r="A4" s="6" t="s">
        <v>36</v>
      </c>
      <c r="B4" s="6">
        <v>2.13</v>
      </c>
      <c r="C4" s="6"/>
    </row>
    <row r="5" spans="1:3" ht="13.8" thickBot="1" x14ac:dyDescent="0.3">
      <c r="A5" s="8" t="s">
        <v>37</v>
      </c>
      <c r="B5" s="4">
        <v>5.42</v>
      </c>
      <c r="C5" s="6"/>
    </row>
    <row r="6" spans="1:3" ht="13.8" thickBot="1" x14ac:dyDescent="0.3">
      <c r="A6" s="8" t="s">
        <v>38</v>
      </c>
      <c r="B6" s="6"/>
      <c r="C6" s="4">
        <v>7.6</v>
      </c>
    </row>
    <row r="7" spans="1:3" ht="13.8" thickBot="1" x14ac:dyDescent="0.3">
      <c r="A7" s="8" t="s">
        <v>39</v>
      </c>
      <c r="B7" s="6"/>
      <c r="C7" s="10">
        <v>1402214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43C90-8A9A-4DB5-881D-7C4A8F3238F2}">
  <dimension ref="A1:D5"/>
  <sheetViews>
    <sheetView workbookViewId="0">
      <selection activeCell="G26" sqref="G26"/>
    </sheetView>
  </sheetViews>
  <sheetFormatPr defaultRowHeight="13.2" x14ac:dyDescent="0.25"/>
  <cols>
    <col min="1" max="1" width="19.88671875" style="5" bestFit="1" customWidth="1"/>
    <col min="2" max="2" width="9" style="5" bestFit="1" customWidth="1"/>
    <col min="3" max="3" width="10.88671875" style="5" bestFit="1" customWidth="1"/>
    <col min="4" max="4" width="9.88671875" style="5" bestFit="1" customWidth="1"/>
    <col min="5" max="16384" width="8.88671875" style="5"/>
  </cols>
  <sheetData>
    <row r="1" spans="1:4" ht="13.8" thickBot="1" x14ac:dyDescent="0.3">
      <c r="A1" s="6" t="s">
        <v>11</v>
      </c>
      <c r="B1" s="6" t="s">
        <v>9</v>
      </c>
      <c r="C1" s="5" t="s">
        <v>13</v>
      </c>
      <c r="D1" s="6" t="s">
        <v>14</v>
      </c>
    </row>
    <row r="2" spans="1:4" ht="13.8" thickBot="1" x14ac:dyDescent="0.3">
      <c r="A2" s="6" t="s">
        <v>26</v>
      </c>
      <c r="B2" s="7">
        <v>8.5</v>
      </c>
      <c r="C2" s="7">
        <v>7.88</v>
      </c>
      <c r="D2" s="7">
        <f>B2/C2</f>
        <v>1.0786802030456852</v>
      </c>
    </row>
    <row r="3" spans="1:4" ht="13.8" thickBot="1" x14ac:dyDescent="0.3">
      <c r="A3" s="6" t="s">
        <v>19</v>
      </c>
      <c r="B3" s="7">
        <v>7.6</v>
      </c>
      <c r="C3" s="7">
        <v>5.42</v>
      </c>
      <c r="D3" s="7">
        <f>B3/C3</f>
        <v>1.4022140221402213</v>
      </c>
    </row>
    <row r="4" spans="1:4" ht="13.8" thickBot="1" x14ac:dyDescent="0.3">
      <c r="A4" s="6" t="s">
        <v>44</v>
      </c>
      <c r="B4" s="7">
        <v>38</v>
      </c>
      <c r="C4" s="7">
        <v>29.38</v>
      </c>
      <c r="D4" s="7">
        <f>B4/C4</f>
        <v>1.2933968686181077</v>
      </c>
    </row>
    <row r="5" spans="1:4" ht="13.8" thickBot="1" x14ac:dyDescent="0.3">
      <c r="A5" s="8" t="s">
        <v>45</v>
      </c>
      <c r="B5" s="7"/>
      <c r="C5" s="7"/>
      <c r="D5" s="9">
        <f>(D2+D3+D4)/3</f>
        <v>1.2580970312680047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Private travel calculations</vt:lpstr>
      <vt:lpstr>Modal commuting  NL</vt:lpstr>
      <vt:lpstr>Modal commuting DK</vt:lpstr>
      <vt:lpstr>Errand travel construction (NL </vt:lpstr>
      <vt:lpstr>Distance 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Ofir Eriksen</dc:creator>
  <cp:lastModifiedBy>Ofir Eriksen</cp:lastModifiedBy>
  <dcterms:created xsi:type="dcterms:W3CDTF">2015-06-05T18:19:34Z</dcterms:created>
  <dcterms:modified xsi:type="dcterms:W3CDTF">2026-06-18T11:16:08Z</dcterms:modified>
</cp:coreProperties>
</file>