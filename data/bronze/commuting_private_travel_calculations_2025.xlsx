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fe\Desktop\envr-footprint-healthcare2025\data\"/>
    </mc:Choice>
  </mc:AlternateContent>
  <xr:revisionPtr revIDLastSave="0" documentId="13_ncr:1_{B03347E4-FDE1-4C76-8EF7-5954310FBA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C16" i="1"/>
  <c r="B16" i="1"/>
  <c r="D15" i="1"/>
  <c r="C15" i="1"/>
  <c r="C14" i="1"/>
  <c r="B14" i="1" a="1"/>
  <c r="B14" i="1" s="1"/>
  <c r="L12" i="1"/>
  <c r="K12" i="1"/>
  <c r="I12" i="1"/>
  <c r="J12" i="1"/>
  <c r="H12" i="1"/>
  <c r="G12" i="1"/>
  <c r="F12" i="1"/>
  <c r="Q8" i="1"/>
  <c r="M8" i="1"/>
  <c r="K8" i="1"/>
  <c r="G4" i="1"/>
  <c r="G8" i="1" s="1"/>
  <c r="H8" i="1"/>
  <c r="I8" i="1" l="1"/>
  <c r="S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<sst xmlns="http://schemas.openxmlformats.org/spreadsheetml/2006/main" count="58" uniqueCount="50">
  <si>
    <t>Mode of transport</t>
  </si>
  <si>
    <t>Number of movements per person per year</t>
  </si>
  <si>
    <t>Share of total number of movements in %</t>
  </si>
  <si>
    <t>Share of total number of movements, redistributed in %</t>
  </si>
  <si>
    <t>Distance travelled per movement per person in km</t>
  </si>
  <si>
    <t>Total distance for 168 mln commutes in mln km</t>
  </si>
  <si>
    <t>Car (driver)</t>
  </si>
  <si>
    <t>53·4%</t>
  </si>
  <si>
    <t>54·3%</t>
  </si>
  <si>
    <t>Car (passenger)</t>
  </si>
  <si>
    <t>3·7%</t>
  </si>
  <si>
    <t>3.8%</t>
  </si>
  <si>
    <t>Train</t>
  </si>
  <si>
    <t>4·3%</t>
  </si>
  <si>
    <t>4·4%</t>
  </si>
  <si>
    <t>Bus/tram/metro</t>
  </si>
  <si>
    <t>Scooter/moped</t>
  </si>
  <si>
    <t>2·5%</t>
  </si>
  <si>
    <t>-</t>
  </si>
  <si>
    <t>Mileage per day per mode</t>
  </si>
  <si>
    <t>Total</t>
  </si>
  <si>
    <t>Table 20: Mileage (PKM) by mode and purpose group</t>
  </si>
  <si>
    <t>Sum car</t>
  </si>
  <si>
    <t>Difference (scalar)</t>
  </si>
  <si>
    <t>Services/care</t>
  </si>
  <si>
    <t>Shopping/Grocery shopping</t>
  </si>
  <si>
    <t>Attending education/courses and childcare</t>
  </si>
  <si>
    <t>Errand in The Netherlands</t>
  </si>
  <si>
    <t>Distance in km</t>
  </si>
  <si>
    <t>Danish Errands</t>
  </si>
  <si>
    <t>Average transport distances across all categories</t>
  </si>
  <si>
    <t>The Netherlands</t>
  </si>
  <si>
    <t>Denmark</t>
  </si>
  <si>
    <t>Derived heuristic average of all three differences, weigthed equally</t>
  </si>
  <si>
    <t>Dk Emplyoees in 2019</t>
  </si>
  <si>
    <t>Commuting</t>
  </si>
  <si>
    <t>NL empoyees in 2016</t>
  </si>
  <si>
    <t>DK average work hours 2019</t>
  </si>
  <si>
    <t>NL average work hours 2016</t>
  </si>
  <si>
    <t>Commuting days in NL 2016</t>
  </si>
  <si>
    <t>Commuting days in Dk 2019</t>
  </si>
  <si>
    <t>Difference between average working hours in DK and NL</t>
  </si>
  <si>
    <t>Difference between number of employees in DK and NL</t>
  </si>
  <si>
    <t>Scalar to apply to commuting emissions, depending on number of commutes</t>
  </si>
  <si>
    <t>Number of commutes from and to work in NL</t>
  </si>
  <si>
    <t>Number of commutes from and to work in DK</t>
  </si>
  <si>
    <t>Combined scalars</t>
  </si>
  <si>
    <t>Patient and visitor travel</t>
  </si>
  <si>
    <t>Difference between travel distance in DK and NL</t>
  </si>
  <si>
    <t>Total difference (Scalar to apply to emissions)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</si>
</sst>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6EBF047-D9BD-4667-A83B-712B56351DC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tabSelected="1" workbookViewId="0">
      <selection activeCell="K8" sqref="K8"/>
    </sheetView>
  </sheetViews>
  <sheetFormatPr defaultRowHeight="14.4" x14ac:dyDescent="0.3"/>
  <cols>
    <col min="1" max="1" width="22.44140625" bestFit="1" customWidth="1"/>
    <col min="2" max="2" width="15.21875" customWidth="1"/>
    <col min="3" max="3" width="15.33203125" customWidth="1"/>
    <col min="4" max="4" width="14.44140625" customWidth="1"/>
    <col min="5" max="5" width="14.21875" customWidth="1"/>
    <col min="6" max="6" width="17.6640625" customWidth="1"/>
    <col min="7" max="7" width="14.5546875" customWidth="1"/>
    <col min="8" max="8" width="14.21875" customWidth="1"/>
    <col min="9" max="9" width="15.88671875" customWidth="1"/>
    <col min="10" max="10" width="17.109375" customWidth="1"/>
    <col min="11" max="11" width="17.21875" customWidth="1"/>
    <col min="12" max="12" width="13.77734375" bestFit="1" customWidth="1"/>
    <col min="13" max="13" width="12.77734375" bestFit="1" customWidth="1"/>
    <col min="14" max="14" width="16.5546875" customWidth="1"/>
    <col min="15" max="15" width="11.6640625" bestFit="1" customWidth="1"/>
    <col min="16" max="16" width="8.77734375" bestFit="1" customWidth="1"/>
    <col min="18" max="18" width="12.44140625" bestFit="1" customWidth="1"/>
  </cols>
  <sheetData>
    <row r="1" spans="1:25" ht="12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</v>
      </c>
      <c r="H1" s="1" t="s">
        <v>21</v>
      </c>
      <c r="I1" s="1" t="s">
        <v>48</v>
      </c>
      <c r="J1" s="1" t="s">
        <v>27</v>
      </c>
      <c r="K1" s="1" t="s">
        <v>28</v>
      </c>
      <c r="L1" s="1" t="s">
        <v>29</v>
      </c>
      <c r="M1" s="1" t="s">
        <v>23</v>
      </c>
      <c r="N1" s="1" t="s">
        <v>30</v>
      </c>
      <c r="O1" s="1" t="s">
        <v>31</v>
      </c>
      <c r="P1" s="1" t="s">
        <v>32</v>
      </c>
      <c r="Q1" s="1"/>
      <c r="R1" s="1" t="s">
        <v>33</v>
      </c>
      <c r="S1" s="1"/>
      <c r="T1" s="1"/>
      <c r="U1" s="1"/>
      <c r="V1" s="1"/>
      <c r="W1" s="1"/>
      <c r="X1" s="1"/>
      <c r="Y1" s="1"/>
    </row>
    <row r="2" spans="1:25" ht="28.8" x14ac:dyDescent="0.3">
      <c r="A2" s="1" t="s">
        <v>6</v>
      </c>
      <c r="B2" s="1">
        <v>86</v>
      </c>
      <c r="C2" s="1" t="s">
        <v>7</v>
      </c>
      <c r="D2" s="1" t="s">
        <v>8</v>
      </c>
      <c r="E2" s="1">
        <v>25.3</v>
      </c>
      <c r="F2" s="1">
        <v>2280</v>
      </c>
      <c r="G2" s="1">
        <v>6.24</v>
      </c>
      <c r="H2" s="1"/>
      <c r="I2" s="1"/>
      <c r="J2" s="1" t="s">
        <v>24</v>
      </c>
      <c r="K2" s="1">
        <v>0.75</v>
      </c>
      <c r="L2" s="1"/>
      <c r="M2" s="1"/>
      <c r="N2" s="1"/>
      <c r="O2" s="1">
        <v>29.3</v>
      </c>
      <c r="P2" s="1">
        <v>38</v>
      </c>
      <c r="Q2" s="1"/>
      <c r="R2" s="1"/>
      <c r="S2" s="1"/>
      <c r="T2" s="1"/>
      <c r="U2" s="1"/>
      <c r="V2" s="1"/>
      <c r="W2" s="1"/>
      <c r="X2" s="1"/>
      <c r="Y2" s="1"/>
    </row>
    <row r="3" spans="1:25" ht="43.2" x14ac:dyDescent="0.3">
      <c r="A3" s="1" t="s">
        <v>9</v>
      </c>
      <c r="B3" s="1">
        <v>6</v>
      </c>
      <c r="C3" s="1" t="s">
        <v>10</v>
      </c>
      <c r="D3" s="1" t="s">
        <v>11</v>
      </c>
      <c r="E3" s="1">
        <v>26.33</v>
      </c>
      <c r="F3" s="1">
        <v>166</v>
      </c>
      <c r="G3" s="1">
        <v>0.46</v>
      </c>
      <c r="H3" s="1"/>
      <c r="I3" s="1"/>
      <c r="J3" s="1" t="s">
        <v>25</v>
      </c>
      <c r="K3" s="1">
        <v>2.54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72" x14ac:dyDescent="0.3">
      <c r="A4" s="1" t="s">
        <v>22</v>
      </c>
      <c r="B4" s="1"/>
      <c r="C4" s="1"/>
      <c r="D4" s="1"/>
      <c r="E4" s="1"/>
      <c r="F4" s="1"/>
      <c r="G4" s="1">
        <f>SUM(G2:G3)</f>
        <v>6.7</v>
      </c>
      <c r="H4" s="1">
        <v>7.5</v>
      </c>
      <c r="I4" s="1"/>
      <c r="J4" s="1" t="s">
        <v>26</v>
      </c>
      <c r="K4" s="1">
        <v>2.13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3">
      <c r="A5" s="1" t="s">
        <v>12</v>
      </c>
      <c r="B5" s="1">
        <v>7</v>
      </c>
      <c r="C5" s="1" t="s">
        <v>13</v>
      </c>
      <c r="D5" s="1" t="s">
        <v>14</v>
      </c>
      <c r="E5" s="1">
        <v>39.49</v>
      </c>
      <c r="F5" s="1">
        <v>280</v>
      </c>
      <c r="G5" s="1">
        <v>0.84</v>
      </c>
      <c r="H5" s="1">
        <v>0.8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3">
      <c r="A6" s="1" t="s">
        <v>15</v>
      </c>
      <c r="B6" s="1">
        <v>7</v>
      </c>
      <c r="C6" s="1" t="s">
        <v>13</v>
      </c>
      <c r="D6" s="1" t="s">
        <v>14</v>
      </c>
      <c r="E6" s="1">
        <v>13.7</v>
      </c>
      <c r="F6" s="1">
        <v>100</v>
      </c>
      <c r="G6" s="1">
        <v>0.26</v>
      </c>
      <c r="H6" s="1">
        <v>0.2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3">
      <c r="A7" s="1" t="s">
        <v>16</v>
      </c>
      <c r="B7" s="1">
        <v>4</v>
      </c>
      <c r="C7" s="1" t="s">
        <v>17</v>
      </c>
      <c r="D7" s="1" t="s">
        <v>17</v>
      </c>
      <c r="E7" s="1">
        <v>7.74</v>
      </c>
      <c r="F7" s="1">
        <v>32</v>
      </c>
      <c r="G7" s="1">
        <v>0.08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6" x14ac:dyDescent="0.3">
      <c r="A8" s="2" t="s">
        <v>20</v>
      </c>
      <c r="B8" s="2"/>
      <c r="C8" s="2"/>
      <c r="D8" s="2"/>
      <c r="E8" s="2"/>
      <c r="F8" s="2"/>
      <c r="G8" s="2">
        <f>SUM(G4:G7)</f>
        <v>7.88</v>
      </c>
      <c r="H8" s="2">
        <f>SUM(H4:H6)</f>
        <v>8.5</v>
      </c>
      <c r="I8" s="2">
        <f>H8/G8</f>
        <v>1.0786802030456852</v>
      </c>
      <c r="J8" s="2" t="s">
        <v>20</v>
      </c>
      <c r="K8" s="2">
        <f>SUM(K2:K4)</f>
        <v>5.42</v>
      </c>
      <c r="L8" s="2">
        <v>7.6</v>
      </c>
      <c r="M8" s="2">
        <f>L8/K8</f>
        <v>1.4022140221402213</v>
      </c>
      <c r="N8" s="1" t="s">
        <v>20</v>
      </c>
      <c r="O8" s="1">
        <v>29.38</v>
      </c>
      <c r="P8" s="1">
        <v>38</v>
      </c>
      <c r="Q8" s="1">
        <f>P8/O8</f>
        <v>1.2933968686181077</v>
      </c>
      <c r="R8" s="1" t="s">
        <v>20</v>
      </c>
      <c r="S8" s="1">
        <f>(I8+M8+Q8)/3</f>
        <v>1.2580970312680047</v>
      </c>
      <c r="T8" s="1"/>
      <c r="U8" s="1"/>
      <c r="V8" s="1"/>
      <c r="W8" s="1"/>
      <c r="X8" s="1"/>
      <c r="Y8" s="1"/>
    </row>
    <row r="9" spans="1:2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3" t="s">
        <v>35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72.8" x14ac:dyDescent="0.3">
      <c r="A11" s="1" t="s">
        <v>34</v>
      </c>
      <c r="B11" s="1" t="s">
        <v>36</v>
      </c>
      <c r="C11" s="1" t="s">
        <v>37</v>
      </c>
      <c r="D11" s="1" t="s">
        <v>38</v>
      </c>
      <c r="E11" s="1" t="s">
        <v>39</v>
      </c>
      <c r="F11" s="1" t="s">
        <v>41</v>
      </c>
      <c r="G11" s="1" t="s">
        <v>42</v>
      </c>
      <c r="H11" s="1" t="s">
        <v>40</v>
      </c>
      <c r="I11" s="1" t="s">
        <v>44</v>
      </c>
      <c r="J11" s="1" t="s">
        <v>45</v>
      </c>
      <c r="K11" s="1" t="s">
        <v>43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1">
        <v>524000</v>
      </c>
      <c r="B12" s="1">
        <v>1220750</v>
      </c>
      <c r="C12" s="1">
        <v>34.4</v>
      </c>
      <c r="D12" s="1">
        <v>29.2</v>
      </c>
      <c r="E12" s="1">
        <v>138</v>
      </c>
      <c r="F12" s="1">
        <f>C12/D12</f>
        <v>1.178082191780822</v>
      </c>
      <c r="G12" s="1">
        <f>A12/B12</f>
        <v>0.42924431701822652</v>
      </c>
      <c r="H12" s="1">
        <f>E12*F12</f>
        <v>162.57534246575344</v>
      </c>
      <c r="I12" s="1">
        <f>E12*B12</f>
        <v>168463500</v>
      </c>
      <c r="J12" s="1">
        <f>H12*A12</f>
        <v>85189479.452054799</v>
      </c>
      <c r="K12" s="1">
        <f>J12/I12</f>
        <v>0.50568508580229421</v>
      </c>
      <c r="L12" s="1">
        <f>A12/B12*F12</f>
        <v>0.50568508580229432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" thickBo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93.6" x14ac:dyDescent="0.3">
      <c r="A14" s="7" t="s">
        <v>46</v>
      </c>
      <c r="B14" s="8" t="str" cm="1">
        <f t="array" ref="B14:B15">K11:K12</f>
        <v>Scalar to apply to commuting emissions, depending on number of commutes</v>
      </c>
      <c r="C14" s="8" t="str">
        <f>I1</f>
        <v>Difference between travel distance in DK and NL</v>
      </c>
      <c r="D14" s="9" t="s">
        <v>49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6" x14ac:dyDescent="0.3">
      <c r="A15" s="10" t="s">
        <v>35</v>
      </c>
      <c r="B15" s="11">
        <v>0.50568508580229421</v>
      </c>
      <c r="C15" s="11">
        <f>I8</f>
        <v>1.0786802030456852</v>
      </c>
      <c r="D15" s="12">
        <f>B15*C15</f>
        <v>0.54547249103039352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1.8" thickBot="1" x14ac:dyDescent="0.35">
      <c r="A16" s="4" t="s">
        <v>47</v>
      </c>
      <c r="B16" s="5">
        <f>K12</f>
        <v>0.50568508580229421</v>
      </c>
      <c r="C16" s="5">
        <f>S8</f>
        <v>1.2580970312680047</v>
      </c>
      <c r="D16" s="6">
        <f>B16*C16</f>
        <v>0.63620090520437256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56" spans="10:10" x14ac:dyDescent="0.3">
      <c r="J56" t="s">
        <v>18</v>
      </c>
    </row>
    <row r="57" spans="10:10" x14ac:dyDescent="0.3">
      <c r="J57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Ofir Eriksen</dc:creator>
  <cp:lastModifiedBy>Ofir Eriksen</cp:lastModifiedBy>
  <dcterms:created xsi:type="dcterms:W3CDTF">2015-06-05T18:19:34Z</dcterms:created>
  <dcterms:modified xsi:type="dcterms:W3CDTF">2025-12-19T09:49:52Z</dcterms:modified>
</cp:coreProperties>
</file>