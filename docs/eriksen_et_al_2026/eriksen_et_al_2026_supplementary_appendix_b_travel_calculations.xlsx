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1 Commuting" sheetId="2" state="visible" r:id="rId4"/>
    <sheet name="B2 Patient and visitor travel" sheetId="3" state="visible" r:id="rId5"/>
    <sheet name="B3 Modal split" sheetId="4" state="visible" r:id="rId6"/>
    <sheet name="B4 Superseded scal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<sst xmlns="http://schemas.openxmlformats.org/spreadsheetml/2006/main" count="209" uniqueCount="150">
  <si>
    <t xml:space="preserve">Appendix B. Travel calculations</t>
  </si>
  <si>
    <t xml:space="preserve">The environmental footprint of the Danish health care system: supply-chain origins and geographical displacement</t>
  </si>
  <si>
    <t xml:space="preserve">Ofir Eriksen and Albert Kwame Osei-Owusu</t>
  </si>
  <si>
    <t xml:space="preserve">Supplementary material, Next Sustainability. Version of 14 September 2026.</t>
  </si>
  <si>
    <t xml:space="preserve">Contents</t>
  </si>
  <si>
    <t xml:space="preserve">Sheet</t>
  </si>
  <si>
    <t xml:space="preserve">Content</t>
  </si>
  <si>
    <t xml:space="preserve">Appendix A</t>
  </si>
  <si>
    <t xml:space="preserve">B1 Commuting</t>
  </si>
  <si>
    <t xml:space="preserve">Employee commuting of Danish health care, 2016, 2019 and 2022</t>
  </si>
  <si>
    <t xml:space="preserve">Eqs. (A.11) and (A.12)</t>
  </si>
  <si>
    <t xml:space="preserve">B2 Patient and visitor travel</t>
  </si>
  <si>
    <t xml:space="preserve">Patient and visitor travel, 2016, 2019 and 2022</t>
  </si>
  <si>
    <t xml:space="preserve">Eq. (A.13)</t>
  </si>
  <si>
    <t xml:space="preserve">B3 Modal split</t>
  </si>
  <si>
    <t xml:space="preserve">Commuting distance by mode, Denmark 2022 and the Netherlands 2016</t>
  </si>
  <si>
    <t xml:space="preserve">Comparability assumptions</t>
  </si>
  <si>
    <t xml:space="preserve">B4 Superseded scaling</t>
  </si>
  <si>
    <t xml:space="preserve">The ratio scaling of the submitted analysis, for comparison only</t>
  </si>
  <si>
    <t xml:space="preserve">Not used</t>
  </si>
  <si>
    <t xml:space="preserve">Conventions</t>
  </si>
  <si>
    <t xml:space="preserve">Blue values are inputs taken from the source named in the row; black values are formulas.</t>
  </si>
  <si>
    <t xml:space="preserve">Each sheet states its units in the Unit column. kt CO2e is thousand tonnes of carbon dioxide equivalent on IPCC AR6 GWP100 values.</t>
  </si>
  <si>
    <t xml:space="preserve">Numbers in square brackets refer to the reference list of Appendix A.</t>
  </si>
  <si>
    <t xml:space="preserve">The model computes the same quantities in src/analysis/main_2025.py of the project repository; the values here reproduce its output.</t>
  </si>
  <si>
    <t xml:space="preserve">Sources</t>
  </si>
  <si>
    <t xml:space="preserve">[4] Statistics Denmark, input-output tables, 117 industries, current prices (eldercare share of social work).</t>
  </si>
  <si>
    <t xml:space="preserve">[7] H. Christiansen, O. Baescu, The Danish National Travel Survey, annual statistical report for Denmark, DTU Center for Transport Analytics (2022 edition, data version TU0622v1; the 2016 and 2019 values are from the reports for those years, data version TU0621v1).</t>
  </si>
  <si>
    <t xml:space="preserve">[8] M.A. Steenmeijer et al., Lancet Planet. Health 6 (2022) e949 to e957, its appendix and model input file (Dutch commuting and patient and visitor travel inventories).</t>
  </si>
  <si>
    <t xml:space="preserve">[17] Statistics Denmark, NABB117: Employment (117-grouping), hours worked (1,000 hours) by industry.</t>
  </si>
  <si>
    <t xml:space="preserve">[18] Statistics Netherlands, table 83500NED, personal mobility by mode and travel purpose, 2016.</t>
  </si>
  <si>
    <t xml:space="preserve">[19] I. Tennison et al., Lancet Planet. Health 5 (2021) e84 to e92, appendix 1 (NHS England patient and visitor travel).</t>
  </si>
  <si>
    <t xml:space="preserve">Table B.1. Employee commuting of Danish health care</t>
  </si>
  <si>
    <t xml:space="preserve">Implements Appendix A, Eqs. (A.11) and (A.12): G_c = delta_w x 365 x P6+ x s_h x eta_c</t>
  </si>
  <si>
    <t xml:space="preserve">Quantity</t>
  </si>
  <si>
    <t xml:space="preserve">2016</t>
  </si>
  <si>
    <t xml:space="preserve">2019</t>
  </si>
  <si>
    <t xml:space="preserve">2022</t>
  </si>
  <si>
    <t xml:space="preserve">Unit</t>
  </si>
  <si>
    <t xml:space="preserve">Source</t>
  </si>
  <si>
    <t xml:space="preserve">Travel to the workplace, both legs (delta_w)</t>
  </si>
  <si>
    <t xml:space="preserve">km per person per day</t>
  </si>
  <si>
    <t xml:space="preserve">Danish National Travel Survey, Table 15, purpose 'Arbejdsplads (pendling)' [7]</t>
  </si>
  <si>
    <t xml:space="preserve">Residents aged 6 and over (P6+)</t>
  </si>
  <si>
    <t xml:space="preserve">persons</t>
  </si>
  <si>
    <t xml:space="preserve">Survey population of the Danish National Travel Survey [7]</t>
  </si>
  <si>
    <t xml:space="preserve">Days per year</t>
  </si>
  <si>
    <t xml:space="preserve">days</t>
  </si>
  <si>
    <t xml:space="preserve">Hours worked, all industries</t>
  </si>
  <si>
    <t xml:space="preserve">1,000 hours</t>
  </si>
  <si>
    <t xml:space="preserve">NABB117, hours worked [17]</t>
  </si>
  <si>
    <t xml:space="preserve">Hours worked, 860010 Hospital activities</t>
  </si>
  <si>
    <t xml:space="preserve">NABB117 [17]</t>
  </si>
  <si>
    <t xml:space="preserve">Hours worked, 860020 Medical and dental practice activities</t>
  </si>
  <si>
    <t xml:space="preserve">Hours worked, 870000 Residential care activities</t>
  </si>
  <si>
    <t xml:space="preserve">Hours worked, 880000 Social work activities without accommodation</t>
  </si>
  <si>
    <t xml:space="preserve">Eldercare share of social work (alpha)</t>
  </si>
  <si>
    <t xml:space="preserve">fraction</t>
  </si>
  <si>
    <t xml:space="preserve">Deliveries of industry 880000 to eldercare (13302) over eldercare and childcare (13301 and 13302), input-output table of each year [4]</t>
  </si>
  <si>
    <t xml:space="preserve">Health care share of hours worked (s_h)</t>
  </si>
  <si>
    <t xml:space="preserve">Eq. (A.11); weights 1 for 860010, 860020 and 870000 and alpha for 880000</t>
  </si>
  <si>
    <t xml:space="preserve">Health care commuting distance</t>
  </si>
  <si>
    <t xml:space="preserve">million person-km</t>
  </si>
  <si>
    <t xml:space="preserve">delta_w x 365 x P6+ x s_h</t>
  </si>
  <si>
    <t xml:space="preserve">Dutch commuting climate impact (G_c NL)</t>
  </si>
  <si>
    <t xml:space="preserve">kt CO2e</t>
  </si>
  <si>
    <t xml:space="preserve">Dutch commuting inventory, model input file [8]</t>
  </si>
  <si>
    <t xml:space="preserve">Dutch commuting distance</t>
  </si>
  <si>
    <t xml:space="preserve">Dutch commuting inventory, all modes including cycling and walking [8]</t>
  </si>
  <si>
    <t xml:space="preserve">Life-cycle intensity (eta_c)</t>
  </si>
  <si>
    <t xml:space="preserve">kg CO2e per person-km</t>
  </si>
  <si>
    <t xml:space="preserve">G_c NL over the Dutch distance</t>
  </si>
  <si>
    <t xml:space="preserve">Commuting climate impact (G_c)</t>
  </si>
  <si>
    <t xml:space="preserve">Eq. (A.11)</t>
  </si>
  <si>
    <t xml:space="preserve">Activity ratio to the Dutch inventory</t>
  </si>
  <si>
    <t xml:space="preserve">ratio</t>
  </si>
  <si>
    <t xml:space="preserve">Eq. (A.12)</t>
  </si>
  <si>
    <t xml:space="preserve">Other indicators, Eq. (A.12): the Dutch commuting impact multiplied by the activity ratio</t>
  </si>
  <si>
    <t xml:space="preserve">Indicator</t>
  </si>
  <si>
    <t xml:space="preserve">Denmark 2016</t>
  </si>
  <si>
    <t xml:space="preserve">Denmark 2019</t>
  </si>
  <si>
    <t xml:space="preserve">Denmark 2022</t>
  </si>
  <si>
    <t xml:space="preserve">Dutch inventory [8]</t>
  </si>
  <si>
    <t xml:space="preserve">Material extraction</t>
  </si>
  <si>
    <t xml:space="preserve">kt</t>
  </si>
  <si>
    <t xml:space="preserve">Blue water consumption</t>
  </si>
  <si>
    <t xml:space="preserve">Mm3</t>
  </si>
  <si>
    <t xml:space="preserve">Land use</t>
  </si>
  <si>
    <t xml:space="preserve">km2</t>
  </si>
  <si>
    <t xml:space="preserve">Waste generation</t>
  </si>
  <si>
    <t xml:space="preserve">not recorded</t>
  </si>
  <si>
    <t xml:space="preserve">Notes</t>
  </si>
  <si>
    <t xml:space="preserve">The survey gives a trip home the purpose of the stay it returns from, so the workplace distance counts both legs of the journey.</t>
  </si>
  <si>
    <t xml:space="preserve">The Dutch inventory counts one commuting trip per working day. That halves its total but not its intensity per person-kilometre, because emissions and distance are counted on the same trips.</t>
  </si>
  <si>
    <t xml:space="preserve">Allocating by hours worked assumes that health care staff travel as far per hour worked as the average worker in Denmark.</t>
  </si>
  <si>
    <t xml:space="preserve">Table B.2. Patient and visitor travel of Danish health care</t>
  </si>
  <si>
    <t xml:space="preserve">Implements Appendix A, Eq. (A.13): patient travel from the Danish survey, visitor travel at the NHS England ratio</t>
  </si>
  <si>
    <t xml:space="preserve">Travel for social and health purposes (delta)</t>
  </si>
  <si>
    <t xml:space="preserve">Danish National Travel Survey, Table 15, purpose 'Social/sundhed' [7]</t>
  </si>
  <si>
    <t xml:space="preserve">Patient travel distance</t>
  </si>
  <si>
    <t xml:space="preserve">Dutch composite intensity (eta)</t>
  </si>
  <si>
    <t xml:space="preserve">358.64 kt over 2.70 billion person-km in the Dutch patient and visitor travel inventory [8]</t>
  </si>
  <si>
    <t xml:space="preserve">Patient travel</t>
  </si>
  <si>
    <t xml:space="preserve">Visitor to patient travel ratio (nu)</t>
  </si>
  <si>
    <t xml:space="preserve">NHS England, visitor 0.29 over patient 1.23 Mt CO2e, appendix 1 [19]</t>
  </si>
  <si>
    <t xml:space="preserve">Visitor travel</t>
  </si>
  <si>
    <t xml:space="preserve">Patient and visitor travel (G_PV)</t>
  </si>
  <si>
    <t xml:space="preserve">Dutch patient and visitor travel (G_PV NL)</t>
  </si>
  <si>
    <t xml:space="preserve">Dutch inventory, model input file [8]</t>
  </si>
  <si>
    <t xml:space="preserve">Other indicators: the Dutch patient and visitor travel impact multiplied by the activity ratio</t>
  </si>
  <si>
    <t xml:space="preserve">Note: the survey folds visits to patients into visits to family and friends, so the visitor share is the one parameter transferred from another health system.</t>
  </si>
  <si>
    <t xml:space="preserve">Table B.3. Commuting distance by mode, Denmark 2022 and the Netherlands 2016</t>
  </si>
  <si>
    <t xml:space="preserve">Supports the comparability assumptions in Appendix A: the Dutch intensity carries the Dutch modal split</t>
  </si>
  <si>
    <t xml:space="preserve">Denmark 2022, travel to the workplace</t>
  </si>
  <si>
    <t xml:space="preserve">Walking</t>
  </si>
  <si>
    <t xml:space="preserve">Danish National Travel Survey 2022, Table 20, column 'Arbejdspl.' [7]</t>
  </si>
  <si>
    <t xml:space="preserve">Cycling</t>
  </si>
  <si>
    <t xml:space="preserve">Car and other road vehicles</t>
  </si>
  <si>
    <t xml:space="preserve">Bus</t>
  </si>
  <si>
    <t xml:space="preserve">Train</t>
  </si>
  <si>
    <t xml:space="preserve">Other</t>
  </si>
  <si>
    <t xml:space="preserve">Total</t>
  </si>
  <si>
    <t xml:space="preserve">Share of distance by car and other road vehicles</t>
  </si>
  <si>
    <t xml:space="preserve">Netherlands 2016, to and from the work address</t>
  </si>
  <si>
    <t xml:space="preserve">Car driver</t>
  </si>
  <si>
    <t xml:space="preserve">Statistics Netherlands, table 83500NED, purpose 'Van en naar werkadres', 2016 [18]</t>
  </si>
  <si>
    <t xml:space="preserve">Car passenger</t>
  </si>
  <si>
    <t xml:space="preserve">Bus, tram and metro</t>
  </si>
  <si>
    <t xml:space="preserve">Moped</t>
  </si>
  <si>
    <t xml:space="preserve">Bicycle</t>
  </si>
  <si>
    <t xml:space="preserve">Share of distance by car and moped</t>
  </si>
  <si>
    <t xml:space="preserve">Table B.4. The ratio scaling of the submitted analysis (superseded, not used)</t>
  </si>
  <si>
    <t xml:space="preserve">Retained so that the change can be traced; replaced by Tables B.1 and B.2 in the revision</t>
  </si>
  <si>
    <t xml:space="preserve">Component (2022)</t>
  </si>
  <si>
    <t xml:space="preserve">Denmark</t>
  </si>
  <si>
    <t xml:space="preserve">Netherlands</t>
  </si>
  <si>
    <t xml:space="preserve">Ratio</t>
  </si>
  <si>
    <t xml:space="preserve">Note</t>
  </si>
  <si>
    <t xml:space="preserve">Health care employees</t>
  </si>
  <si>
    <t xml:space="preserve">Dutch value as used by Steenmeijer et al.; Danish value from NABB69</t>
  </si>
  <si>
    <t xml:space="preserve">Weekly working hours</t>
  </si>
  <si>
    <t xml:space="preserve">All industries on both sides, not health care; Danish 2019, Dutch 2019 labelled 2016</t>
  </si>
  <si>
    <t xml:space="preserve">Daily motorised commuting distance (km)</t>
  </si>
  <si>
    <t xml:space="preserve">Km per resident per day, not per commuting trip</t>
  </si>
  <si>
    <t xml:space="preserve">Commuting ratio</t>
  </si>
  <si>
    <t xml:space="preserve">Commuting climate impact</t>
  </si>
  <si>
    <t xml:space="preserve">Why it was replaced</t>
  </si>
  <si>
    <t xml:space="preserve">The Dutch base multiplies 138 working days by 1,220,750 employees and one trip per day, so it counts one commuting trip per working day; any ratio applied to it carries that half-count into Denmark.</t>
  </si>
  <si>
    <t xml:space="preserve">The hours ratio compared all-industry averages rather than health care, and the distance ratio used km per resident per day, which already embeds employment and trip rates.</t>
  </si>
  <si>
    <t xml:space="preserve">The direct estimate in Table B.1 gives 444.2 kt CO2e for 2022.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</si>
</sst>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#,##0"/>
    <numFmt numFmtId="167" formatCode="0"/>
    <numFmt numFmtId="168" formatCode="0.0000"/>
    <numFmt numFmtId="169" formatCode="#,##0.0"/>
    <numFmt numFmtId="170" formatCode="#,##0.00"/>
    <numFmt numFmtId="171" formatCode="0.000"/>
    <numFmt numFmtId="172" formatCode="0.0%"/>
    <numFmt numFmtId="173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3"/>
      <name val="Calibri"/>
      <family val="0"/>
      <charset val="1"/>
    </font>
    <font>
      <i val="true"/>
      <sz val="10"/>
      <name val="Calibri"/>
      <family val="0"/>
      <charset val="1"/>
    </font>
    <font>
      <sz val="11"/>
      <color rgb="FF1F4E9E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4" t="s">
        <v>5</v>
      </c>
      <c r="B7" s="4" t="s">
        <v>6</v>
      </c>
      <c r="C7" s="4" t="s">
        <v>7</v>
      </c>
    </row>
    <row r="8" customFormat="false" ht="15" hidden="false" customHeight="false" outlineLevel="0" collapsed="false">
      <c r="A8" s="5" t="s">
        <v>8</v>
      </c>
      <c r="B8" s="0" t="s">
        <v>9</v>
      </c>
      <c r="C8" s="0" t="s">
        <v>10</v>
      </c>
    </row>
    <row r="9" customFormat="false" ht="15" hidden="false" customHeight="false" outlineLevel="0" collapsed="false">
      <c r="A9" s="5" t="s">
        <v>11</v>
      </c>
      <c r="B9" s="0" t="s">
        <v>12</v>
      </c>
      <c r="C9" s="0" t="s">
        <v>13</v>
      </c>
    </row>
    <row r="10" customFormat="false" ht="15" hidden="false" customHeight="false" outlineLevel="0" collapsed="false">
      <c r="A10" s="5" t="s">
        <v>14</v>
      </c>
      <c r="B10" s="0" t="s">
        <v>15</v>
      </c>
      <c r="C10" s="0" t="s">
        <v>16</v>
      </c>
    </row>
    <row r="11" customFormat="false" ht="15" hidden="false" customHeight="false" outlineLevel="0" collapsed="false">
      <c r="A11" s="5" t="s">
        <v>17</v>
      </c>
      <c r="B11" s="0" t="s">
        <v>18</v>
      </c>
      <c r="C11" s="0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0" t="s">
        <v>21</v>
      </c>
    </row>
    <row r="15" customFormat="false" ht="15" hidden="false" customHeight="false" outlineLevel="0" collapsed="false">
      <c r="A15" s="0" t="s">
        <v>22</v>
      </c>
    </row>
    <row r="16" customFormat="false" ht="15" hidden="false" customHeight="false" outlineLevel="0" collapsed="false">
      <c r="A16" s="0" t="s">
        <v>23</v>
      </c>
    </row>
    <row r="17" customFormat="false" ht="15" hidden="false" customHeight="false" outlineLevel="0" collapsed="false">
      <c r="A17" s="0" t="s">
        <v>24</v>
      </c>
    </row>
    <row r="19" customFormat="false" ht="15" hidden="false" customHeight="false" outlineLevel="0" collapsed="false">
      <c r="A19" s="3" t="s">
        <v>25</v>
      </c>
    </row>
    <row r="20" customFormat="false" ht="15" hidden="false" customHeight="false" outlineLevel="0" collapsed="false">
      <c r="A20" s="0" t="s">
        <v>26</v>
      </c>
    </row>
    <row r="21" customFormat="false" ht="15" hidden="false" customHeight="false" outlineLevel="0" collapsed="false">
      <c r="A21" s="0" t="s">
        <v>27</v>
      </c>
    </row>
    <row r="22" customFormat="false" ht="15" hidden="false" customHeight="false" outlineLevel="0" collapsed="false">
      <c r="A22" s="0" t="s">
        <v>28</v>
      </c>
    </row>
    <row r="23" customFormat="false" ht="15" hidden="false" customHeight="false" outlineLevel="0" collapsed="false">
      <c r="A23" s="0" t="s">
        <v>29</v>
      </c>
    </row>
    <row r="24" customFormat="false" ht="15" hidden="false" customHeight="false" outlineLevel="0" collapsed="false">
      <c r="A24" s="0" t="s">
        <v>30</v>
      </c>
    </row>
    <row r="25" customFormat="false" ht="15" hidden="false" customHeight="false" outlineLevel="0" collapsed="false">
      <c r="A25" s="0" t="s">
        <v>31</v>
      </c>
    </row>
  </sheetData>
  <hyperlinks>
    <hyperlink ref="A8" location="'B1 Commuting'!A1" display="B1 Commuting"/>
    <hyperlink ref="A9" location="'B2 Patient and visitor travel'!A1" display="B2 Patient and visitor travel"/>
    <hyperlink ref="A10" location="'B3 Modal split'!A1" display="B3 Modal split"/>
    <hyperlink ref="A11" location="'B4 Superseded scaling'!A1" display="B4 Superseded scal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6" t="s">
        <v>32</v>
      </c>
    </row>
    <row r="2" customFormat="false" ht="15" hidden="false" customHeight="false" outlineLevel="0" collapsed="false">
      <c r="A2" s="7" t="s">
        <v>33</v>
      </c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</row>
    <row r="5" customFormat="false" ht="15" hidden="false" customHeight="false" outlineLevel="0" collapsed="false">
      <c r="A5" s="8" t="s">
        <v>40</v>
      </c>
      <c r="B5" s="9" t="n">
        <v>9.7</v>
      </c>
      <c r="C5" s="9" t="n">
        <v>9.2</v>
      </c>
      <c r="D5" s="9" t="n">
        <v>9.3</v>
      </c>
      <c r="E5" s="8" t="s">
        <v>41</v>
      </c>
      <c r="F5" s="8" t="s">
        <v>42</v>
      </c>
    </row>
    <row r="6" customFormat="false" ht="15" hidden="false" customHeight="false" outlineLevel="0" collapsed="false">
      <c r="A6" s="8" t="s">
        <v>43</v>
      </c>
      <c r="B6" s="10" t="n">
        <v>5346887</v>
      </c>
      <c r="C6" s="10" t="n">
        <v>5442766</v>
      </c>
      <c r="D6" s="10" t="n">
        <v>5499115</v>
      </c>
      <c r="E6" s="8" t="s">
        <v>44</v>
      </c>
      <c r="F6" s="8" t="s">
        <v>45</v>
      </c>
    </row>
    <row r="7" customFormat="false" ht="15" hidden="false" customHeight="false" outlineLevel="0" collapsed="false">
      <c r="A7" s="8" t="s">
        <v>46</v>
      </c>
      <c r="B7" s="11" t="n">
        <v>365</v>
      </c>
      <c r="C7" s="11" t="n">
        <v>365</v>
      </c>
      <c r="D7" s="11" t="n">
        <v>365</v>
      </c>
      <c r="E7" s="8" t="s">
        <v>47</v>
      </c>
      <c r="F7" s="8"/>
    </row>
    <row r="8" customFormat="false" ht="15" hidden="false" customHeight="false" outlineLevel="0" collapsed="false">
      <c r="A8" s="8" t="s">
        <v>48</v>
      </c>
      <c r="B8" s="10" t="n">
        <v>4057307</v>
      </c>
      <c r="C8" s="10" t="n">
        <v>4122911</v>
      </c>
      <c r="D8" s="10" t="n">
        <v>4379839</v>
      </c>
      <c r="E8" s="8" t="s">
        <v>49</v>
      </c>
      <c r="F8" s="8" t="s">
        <v>50</v>
      </c>
    </row>
    <row r="9" customFormat="false" ht="15" hidden="false" customHeight="false" outlineLevel="0" collapsed="false">
      <c r="A9" s="8" t="s">
        <v>51</v>
      </c>
      <c r="B9" s="10" t="n">
        <v>176506</v>
      </c>
      <c r="C9" s="10" t="n">
        <v>179842</v>
      </c>
      <c r="D9" s="10" t="n">
        <v>192990</v>
      </c>
      <c r="E9" s="8" t="s">
        <v>49</v>
      </c>
      <c r="F9" s="8" t="s">
        <v>52</v>
      </c>
    </row>
    <row r="10" customFormat="false" ht="15" hidden="false" customHeight="false" outlineLevel="0" collapsed="false">
      <c r="A10" s="8" t="s">
        <v>53</v>
      </c>
      <c r="B10" s="10" t="n">
        <v>111556</v>
      </c>
      <c r="C10" s="10" t="n">
        <v>115296</v>
      </c>
      <c r="D10" s="10" t="n">
        <v>137275</v>
      </c>
      <c r="E10" s="8" t="s">
        <v>49</v>
      </c>
      <c r="F10" s="8" t="s">
        <v>52</v>
      </c>
    </row>
    <row r="11" customFormat="false" ht="15" hidden="false" customHeight="false" outlineLevel="0" collapsed="false">
      <c r="A11" s="8" t="s">
        <v>54</v>
      </c>
      <c r="B11" s="10" t="n">
        <v>152771</v>
      </c>
      <c r="C11" s="10" t="n">
        <v>157045</v>
      </c>
      <c r="D11" s="10" t="n">
        <v>158616</v>
      </c>
      <c r="E11" s="8" t="s">
        <v>49</v>
      </c>
      <c r="F11" s="8" t="s">
        <v>52</v>
      </c>
    </row>
    <row r="12" customFormat="false" ht="23.85" hidden="false" customHeight="false" outlineLevel="0" collapsed="false">
      <c r="A12" s="8" t="s">
        <v>55</v>
      </c>
      <c r="B12" s="10" t="n">
        <v>221614</v>
      </c>
      <c r="C12" s="10" t="n">
        <v>222213</v>
      </c>
      <c r="D12" s="10" t="n">
        <v>229198</v>
      </c>
      <c r="E12" s="8" t="s">
        <v>49</v>
      </c>
      <c r="F12" s="8" t="s">
        <v>52</v>
      </c>
    </row>
    <row r="13" customFormat="false" ht="23.85" hidden="false" customHeight="false" outlineLevel="0" collapsed="false">
      <c r="A13" s="8" t="s">
        <v>56</v>
      </c>
      <c r="B13" s="12" t="n">
        <v>0.345482030612</v>
      </c>
      <c r="C13" s="12" t="n">
        <v>0.305984660453</v>
      </c>
      <c r="D13" s="12" t="n">
        <v>0.30923616062</v>
      </c>
      <c r="E13" s="8" t="s">
        <v>57</v>
      </c>
      <c r="F13" s="8" t="s">
        <v>58</v>
      </c>
    </row>
    <row r="14" customFormat="false" ht="15" hidden="false" customHeight="false" outlineLevel="0" collapsed="false">
      <c r="A14" s="8" t="s">
        <v>59</v>
      </c>
      <c r="B14" s="13" t="n">
        <f aca="false">(B9+B10+B11+B13*B12)/B8</f>
        <v>0.127522185215969</v>
      </c>
      <c r="C14" s="13" t="n">
        <f aca="false">(C9+C10+C11+C13*C12)/C8</f>
        <v>0.126167353443536</v>
      </c>
      <c r="D14" s="13" t="n">
        <f aca="false">(D9+D10+D11+D13*D12)/D8</f>
        <v>0.12780317028589</v>
      </c>
      <c r="E14" s="8" t="s">
        <v>57</v>
      </c>
      <c r="F14" s="8" t="s">
        <v>60</v>
      </c>
    </row>
    <row r="15" customFormat="false" ht="15" hidden="false" customHeight="false" outlineLevel="0" collapsed="false">
      <c r="A15" s="8" t="s">
        <v>61</v>
      </c>
      <c r="B15" s="14" t="n">
        <f aca="false">B5*B7*B6*B14/1000000</f>
        <v>2414.07829213089</v>
      </c>
      <c r="C15" s="14" t="n">
        <f aca="false">C5*C7*C6*C14/1000000</f>
        <v>2305.9365235218</v>
      </c>
      <c r="D15" s="14" t="n">
        <f aca="false">D5*D7*D6*D14/1000000</f>
        <v>2385.66930078754</v>
      </c>
      <c r="E15" s="8" t="s">
        <v>62</v>
      </c>
      <c r="F15" s="8" t="s">
        <v>63</v>
      </c>
    </row>
    <row r="16" customFormat="false" ht="15" hidden="false" customHeight="false" outlineLevel="0" collapsed="false">
      <c r="A16" s="8" t="s">
        <v>64</v>
      </c>
      <c r="B16" s="15" t="n">
        <v>573.43</v>
      </c>
      <c r="C16" s="15" t="n">
        <v>573.43</v>
      </c>
      <c r="D16" s="15" t="n">
        <v>573.43</v>
      </c>
      <c r="E16" s="8" t="s">
        <v>65</v>
      </c>
      <c r="F16" s="8" t="s">
        <v>66</v>
      </c>
    </row>
    <row r="17" customFormat="false" ht="15" hidden="false" customHeight="false" outlineLevel="0" collapsed="false">
      <c r="A17" s="8" t="s">
        <v>67</v>
      </c>
      <c r="B17" s="10" t="n">
        <v>3080</v>
      </c>
      <c r="C17" s="10" t="n">
        <v>3080</v>
      </c>
      <c r="D17" s="10" t="n">
        <v>3080</v>
      </c>
      <c r="E17" s="8" t="s">
        <v>62</v>
      </c>
      <c r="F17" s="8" t="s">
        <v>68</v>
      </c>
    </row>
    <row r="18" customFormat="false" ht="15" hidden="false" customHeight="false" outlineLevel="0" collapsed="false">
      <c r="A18" s="8" t="s">
        <v>69</v>
      </c>
      <c r="B18" s="13" t="n">
        <f aca="false">B16/B17</f>
        <v>0.186178571428571</v>
      </c>
      <c r="C18" s="13" t="n">
        <f aca="false">C16/C17</f>
        <v>0.186178571428571</v>
      </c>
      <c r="D18" s="13" t="n">
        <f aca="false">D16/D17</f>
        <v>0.186178571428571</v>
      </c>
      <c r="E18" s="8" t="s">
        <v>70</v>
      </c>
      <c r="F18" s="8" t="s">
        <v>71</v>
      </c>
    </row>
    <row r="19" customFormat="false" ht="15" hidden="false" customHeight="false" outlineLevel="0" collapsed="false">
      <c r="A19" s="8" t="s">
        <v>72</v>
      </c>
      <c r="B19" s="14" t="n">
        <f aca="false">B15*B18</f>
        <v>449.449647745654</v>
      </c>
      <c r="C19" s="14" t="n">
        <f aca="false">C15*C18</f>
        <v>429.315967754256</v>
      </c>
      <c r="D19" s="14" t="n">
        <f aca="false">D15*D18</f>
        <v>444.160502321623</v>
      </c>
      <c r="E19" s="8" t="s">
        <v>65</v>
      </c>
      <c r="F19" s="8" t="s">
        <v>73</v>
      </c>
    </row>
    <row r="20" customFormat="false" ht="15" hidden="false" customHeight="false" outlineLevel="0" collapsed="false">
      <c r="A20" s="8" t="s">
        <v>74</v>
      </c>
      <c r="B20" s="13" t="n">
        <f aca="false">B19/B16</f>
        <v>0.783791653289249</v>
      </c>
      <c r="C20" s="13" t="n">
        <f aca="false">C19/C16</f>
        <v>0.748680689455131</v>
      </c>
      <c r="D20" s="13" t="n">
        <f aca="false">D19/D16</f>
        <v>0.774567954801149</v>
      </c>
      <c r="E20" s="8" t="s">
        <v>75</v>
      </c>
      <c r="F20" s="8" t="s">
        <v>76</v>
      </c>
    </row>
    <row r="22" customFormat="false" ht="15" hidden="false" customHeight="false" outlineLevel="0" collapsed="false">
      <c r="A22" s="3" t="s">
        <v>77</v>
      </c>
    </row>
    <row r="23" customFormat="false" ht="15" hidden="false" customHeight="false" outlineLevel="0" collapsed="false">
      <c r="A23" s="4" t="s">
        <v>78</v>
      </c>
      <c r="B23" s="4" t="s">
        <v>79</v>
      </c>
      <c r="C23" s="4" t="s">
        <v>80</v>
      </c>
      <c r="D23" s="4" t="s">
        <v>81</v>
      </c>
      <c r="E23" s="4" t="s">
        <v>38</v>
      </c>
      <c r="F23" s="4" t="s">
        <v>82</v>
      </c>
    </row>
    <row r="24" customFormat="false" ht="15" hidden="false" customHeight="false" outlineLevel="0" collapsed="false">
      <c r="A24" s="0" t="s">
        <v>83</v>
      </c>
      <c r="B24" s="16" t="n">
        <f aca="false">$F24*B$20</f>
        <v>18.5131588506921</v>
      </c>
      <c r="C24" s="16" t="n">
        <f aca="false">$F24*C$20</f>
        <v>17.6838378849302</v>
      </c>
      <c r="D24" s="16" t="n">
        <f aca="false">$F24*D$20</f>
        <v>18.2952950924031</v>
      </c>
      <c r="E24" s="0" t="s">
        <v>84</v>
      </c>
      <c r="F24" s="17" t="n">
        <v>23.62</v>
      </c>
    </row>
    <row r="25" customFormat="false" ht="15" hidden="false" customHeight="false" outlineLevel="0" collapsed="false">
      <c r="A25" s="0" t="s">
        <v>85</v>
      </c>
      <c r="B25" s="16" t="n">
        <f aca="false">$F25*B$20</f>
        <v>0.12540666452628</v>
      </c>
      <c r="C25" s="16" t="n">
        <f aca="false">$F25*C$20</f>
        <v>0.119788910312821</v>
      </c>
      <c r="D25" s="16" t="n">
        <f aca="false">$F25*D$20</f>
        <v>0.123930872768184</v>
      </c>
      <c r="E25" s="0" t="s">
        <v>86</v>
      </c>
      <c r="F25" s="17" t="n">
        <v>0.16</v>
      </c>
    </row>
    <row r="26" customFormat="false" ht="15" hidden="false" customHeight="false" outlineLevel="0" collapsed="false">
      <c r="A26" s="0" t="s">
        <v>87</v>
      </c>
      <c r="B26" s="16" t="n">
        <f aca="false">$F26*B$20</f>
        <v>1.20703914606544</v>
      </c>
      <c r="C26" s="16" t="n">
        <f aca="false">$F26*C$20</f>
        <v>1.1529682617609</v>
      </c>
      <c r="D26" s="16" t="n">
        <f aca="false">$F26*D$20</f>
        <v>1.19283465039377</v>
      </c>
      <c r="E26" s="0" t="s">
        <v>88</v>
      </c>
      <c r="F26" s="17" t="n">
        <v>1.54</v>
      </c>
    </row>
    <row r="27" customFormat="false" ht="15" hidden="false" customHeight="false" outlineLevel="0" collapsed="false">
      <c r="A27" s="0" t="s">
        <v>89</v>
      </c>
      <c r="E27" s="0" t="s">
        <v>84</v>
      </c>
      <c r="F27" s="0" t="s">
        <v>90</v>
      </c>
    </row>
    <row r="29" customFormat="false" ht="15" hidden="false" customHeight="false" outlineLevel="0" collapsed="false">
      <c r="A29" s="3" t="s">
        <v>91</v>
      </c>
    </row>
    <row r="30" customFormat="false" ht="15" hidden="false" customHeight="false" outlineLevel="0" collapsed="false">
      <c r="A30" s="0" t="s">
        <v>92</v>
      </c>
    </row>
    <row r="31" customFormat="false" ht="15" hidden="false" customHeight="false" outlineLevel="0" collapsed="false">
      <c r="A31" s="0" t="s">
        <v>93</v>
      </c>
    </row>
    <row r="32" customFormat="false" ht="15" hidden="false" customHeight="false" outlineLevel="0" collapsed="false">
      <c r="A32" s="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6" t="s">
        <v>95</v>
      </c>
    </row>
    <row r="2" customFormat="false" ht="15" hidden="false" customHeight="false" outlineLevel="0" collapsed="false">
      <c r="A2" s="7" t="s">
        <v>96</v>
      </c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</row>
    <row r="5" customFormat="false" ht="15" hidden="false" customHeight="false" outlineLevel="0" collapsed="false">
      <c r="A5" s="8" t="s">
        <v>97</v>
      </c>
      <c r="B5" s="9" t="n">
        <v>0.7</v>
      </c>
      <c r="C5" s="9" t="n">
        <v>0.9</v>
      </c>
      <c r="D5" s="9" t="n">
        <v>0.8</v>
      </c>
      <c r="E5" s="8" t="s">
        <v>41</v>
      </c>
      <c r="F5" s="8" t="s">
        <v>98</v>
      </c>
    </row>
    <row r="6" customFormat="false" ht="15" hidden="false" customHeight="false" outlineLevel="0" collapsed="false">
      <c r="A6" s="8" t="s">
        <v>43</v>
      </c>
      <c r="B6" s="10" t="n">
        <v>5346887</v>
      </c>
      <c r="C6" s="10" t="n">
        <v>5442766</v>
      </c>
      <c r="D6" s="10" t="n">
        <v>5499115</v>
      </c>
      <c r="E6" s="8" t="s">
        <v>44</v>
      </c>
      <c r="F6" s="8" t="s">
        <v>45</v>
      </c>
    </row>
    <row r="7" customFormat="false" ht="15" hidden="false" customHeight="false" outlineLevel="0" collapsed="false">
      <c r="A7" s="8" t="s">
        <v>46</v>
      </c>
      <c r="B7" s="11" t="n">
        <v>365</v>
      </c>
      <c r="C7" s="11" t="n">
        <v>365</v>
      </c>
      <c r="D7" s="11" t="n">
        <v>365</v>
      </c>
      <c r="E7" s="8" t="s">
        <v>47</v>
      </c>
      <c r="F7" s="8"/>
    </row>
    <row r="8" customFormat="false" ht="15" hidden="false" customHeight="false" outlineLevel="0" collapsed="false">
      <c r="A8" s="8" t="s">
        <v>99</v>
      </c>
      <c r="B8" s="14" t="n">
        <f aca="false">B5*B7*B6/1000000</f>
        <v>1366.1296285</v>
      </c>
      <c r="C8" s="14" t="n">
        <f aca="false">C5*C7*C6/1000000</f>
        <v>1787.948631</v>
      </c>
      <c r="D8" s="14" t="n">
        <f aca="false">D5*D7*D6/1000000</f>
        <v>1605.74158</v>
      </c>
      <c r="E8" s="8" t="s">
        <v>62</v>
      </c>
      <c r="F8" s="8"/>
    </row>
    <row r="9" customFormat="false" ht="23.85" hidden="false" customHeight="false" outlineLevel="0" collapsed="false">
      <c r="A9" s="8" t="s">
        <v>100</v>
      </c>
      <c r="B9" s="12" t="n">
        <v>0.1328</v>
      </c>
      <c r="C9" s="12" t="n">
        <v>0.1328</v>
      </c>
      <c r="D9" s="12" t="n">
        <v>0.1328</v>
      </c>
      <c r="E9" s="8" t="s">
        <v>70</v>
      </c>
      <c r="F9" s="8" t="s">
        <v>101</v>
      </c>
    </row>
    <row r="10" customFormat="false" ht="15" hidden="false" customHeight="false" outlineLevel="0" collapsed="false">
      <c r="A10" s="8" t="s">
        <v>102</v>
      </c>
      <c r="B10" s="14" t="n">
        <f aca="false">B8*B9</f>
        <v>181.4220146648</v>
      </c>
      <c r="C10" s="14" t="n">
        <f aca="false">C8*C9</f>
        <v>237.4395781968</v>
      </c>
      <c r="D10" s="14" t="n">
        <f aca="false">D8*D9</f>
        <v>213.242481824</v>
      </c>
      <c r="E10" s="8" t="s">
        <v>65</v>
      </c>
      <c r="F10" s="8"/>
    </row>
    <row r="11" customFormat="false" ht="15" hidden="false" customHeight="false" outlineLevel="0" collapsed="false">
      <c r="A11" s="8" t="s">
        <v>103</v>
      </c>
      <c r="B11" s="18" t="n">
        <v>0.236</v>
      </c>
      <c r="C11" s="18" t="n">
        <v>0.236</v>
      </c>
      <c r="D11" s="18" t="n">
        <v>0.236</v>
      </c>
      <c r="E11" s="8" t="s">
        <v>75</v>
      </c>
      <c r="F11" s="8" t="s">
        <v>104</v>
      </c>
    </row>
    <row r="12" customFormat="false" ht="15" hidden="false" customHeight="false" outlineLevel="0" collapsed="false">
      <c r="A12" s="8" t="s">
        <v>105</v>
      </c>
      <c r="B12" s="14" t="n">
        <f aca="false">B10*B11</f>
        <v>42.8155954608928</v>
      </c>
      <c r="C12" s="14" t="n">
        <f aca="false">C10*C11</f>
        <v>56.0357404544448</v>
      </c>
      <c r="D12" s="14" t="n">
        <f aca="false">D10*D11</f>
        <v>50.325225710464</v>
      </c>
      <c r="E12" s="8" t="s">
        <v>65</v>
      </c>
      <c r="F12" s="8"/>
    </row>
    <row r="13" customFormat="false" ht="15" hidden="false" customHeight="false" outlineLevel="0" collapsed="false">
      <c r="A13" s="8" t="s">
        <v>106</v>
      </c>
      <c r="B13" s="14" t="n">
        <f aca="false">B10+B12</f>
        <v>224.237610125693</v>
      </c>
      <c r="C13" s="14" t="n">
        <f aca="false">C10+C12</f>
        <v>293.475318651245</v>
      </c>
      <c r="D13" s="14" t="n">
        <f aca="false">D10+D12</f>
        <v>263.567707534464</v>
      </c>
      <c r="E13" s="8" t="s">
        <v>65</v>
      </c>
      <c r="F13" s="8" t="s">
        <v>13</v>
      </c>
    </row>
    <row r="14" customFormat="false" ht="15" hidden="false" customHeight="false" outlineLevel="0" collapsed="false">
      <c r="A14" s="8" t="s">
        <v>107</v>
      </c>
      <c r="B14" s="15" t="n">
        <v>358.6386</v>
      </c>
      <c r="C14" s="15" t="n">
        <v>358.6386</v>
      </c>
      <c r="D14" s="15" t="n">
        <v>358.6386</v>
      </c>
      <c r="E14" s="8" t="s">
        <v>65</v>
      </c>
      <c r="F14" s="8" t="s">
        <v>108</v>
      </c>
    </row>
    <row r="15" customFormat="false" ht="15" hidden="false" customHeight="false" outlineLevel="0" collapsed="false">
      <c r="A15" s="8" t="s">
        <v>74</v>
      </c>
      <c r="B15" s="13" t="n">
        <f aca="false">B13/B14</f>
        <v>0.625246725047702</v>
      </c>
      <c r="C15" s="13" t="n">
        <f aca="false">C13/C14</f>
        <v>0.818303770568045</v>
      </c>
      <c r="D15" s="13" t="n">
        <f aca="false">D13/D14</f>
        <v>0.734911712053482</v>
      </c>
      <c r="E15" s="8" t="s">
        <v>75</v>
      </c>
      <c r="F15" s="8" t="s">
        <v>13</v>
      </c>
    </row>
    <row r="17" customFormat="false" ht="15" hidden="false" customHeight="false" outlineLevel="0" collapsed="false">
      <c r="A17" s="3" t="s">
        <v>109</v>
      </c>
    </row>
    <row r="18" customFormat="false" ht="15" hidden="false" customHeight="false" outlineLevel="0" collapsed="false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38</v>
      </c>
      <c r="F18" s="4" t="s">
        <v>82</v>
      </c>
    </row>
    <row r="19" customFormat="false" ht="15" hidden="false" customHeight="false" outlineLevel="0" collapsed="false">
      <c r="A19" s="0" t="s">
        <v>83</v>
      </c>
      <c r="B19" s="16" t="n">
        <f aca="false">$F19*B$15</f>
        <v>11.6040164948328</v>
      </c>
      <c r="C19" s="16" t="n">
        <f aca="false">$F19*C$15</f>
        <v>15.1869815083494</v>
      </c>
      <c r="D19" s="16" t="n">
        <f aca="false">$F19*D$15</f>
        <v>13.6392999551718</v>
      </c>
      <c r="E19" s="0" t="s">
        <v>84</v>
      </c>
      <c r="F19" s="17" t="n">
        <v>18.5591</v>
      </c>
    </row>
    <row r="20" customFormat="false" ht="15" hidden="false" customHeight="false" outlineLevel="0" collapsed="false">
      <c r="A20" s="0" t="s">
        <v>85</v>
      </c>
      <c r="B20" s="16" t="n">
        <f aca="false">$F20*B$15</f>
        <v>0.0828451910688205</v>
      </c>
      <c r="C20" s="16" t="n">
        <f aca="false">$F20*C$15</f>
        <v>0.108425249600266</v>
      </c>
      <c r="D20" s="16" t="n">
        <f aca="false">$F20*D$15</f>
        <v>0.0973758018470864</v>
      </c>
      <c r="E20" s="0" t="s">
        <v>86</v>
      </c>
      <c r="F20" s="17" t="n">
        <v>0.1325</v>
      </c>
    </row>
    <row r="21" customFormat="false" ht="15" hidden="false" customHeight="false" outlineLevel="0" collapsed="false">
      <c r="A21" s="0" t="s">
        <v>87</v>
      </c>
      <c r="B21" s="16" t="n">
        <f aca="false">$F21*B$15</f>
        <v>0.754172599752538</v>
      </c>
      <c r="C21" s="16" t="n">
        <f aca="false">$F21*C$15</f>
        <v>0.987038008059176</v>
      </c>
      <c r="D21" s="16" t="n">
        <f aca="false">$F21*D$15</f>
        <v>0.88645050707891</v>
      </c>
      <c r="E21" s="0" t="s">
        <v>88</v>
      </c>
      <c r="F21" s="17" t="n">
        <v>1.2062</v>
      </c>
    </row>
    <row r="22" customFormat="false" ht="15" hidden="false" customHeight="false" outlineLevel="0" collapsed="false">
      <c r="A22" s="0" t="s">
        <v>89</v>
      </c>
      <c r="E22" s="0" t="s">
        <v>84</v>
      </c>
      <c r="F22" s="0" t="s">
        <v>90</v>
      </c>
    </row>
    <row r="24" customFormat="false" ht="15" hidden="false" customHeight="false" outlineLevel="0" collapsed="false">
      <c r="A24" s="0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5" min="3" style="0" width="4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6" t="s">
        <v>111</v>
      </c>
    </row>
    <row r="2" customFormat="false" ht="15" hidden="false" customHeight="false" outlineLevel="0" collapsed="false">
      <c r="A2" s="7" t="s">
        <v>112</v>
      </c>
    </row>
    <row r="4" customFormat="false" ht="15" hidden="false" customHeight="false" outlineLevel="0" collapsed="false">
      <c r="A4" s="4" t="s">
        <v>113</v>
      </c>
      <c r="B4" s="4" t="s">
        <v>41</v>
      </c>
      <c r="C4" s="4"/>
      <c r="D4" s="4"/>
      <c r="E4" s="4"/>
      <c r="F4" s="4" t="s">
        <v>39</v>
      </c>
    </row>
    <row r="5" customFormat="false" ht="15" hidden="false" customHeight="false" outlineLevel="0" collapsed="false">
      <c r="A5" s="0" t="s">
        <v>114</v>
      </c>
      <c r="B5" s="17" t="n">
        <v>0.1</v>
      </c>
      <c r="F5" s="0" t="s">
        <v>115</v>
      </c>
    </row>
    <row r="6" customFormat="false" ht="15" hidden="false" customHeight="false" outlineLevel="0" collapsed="false">
      <c r="A6" s="0" t="s">
        <v>116</v>
      </c>
      <c r="B6" s="17" t="n">
        <v>0.5</v>
      </c>
    </row>
    <row r="7" customFormat="false" ht="15" hidden="false" customHeight="false" outlineLevel="0" collapsed="false">
      <c r="A7" s="0" t="s">
        <v>117</v>
      </c>
      <c r="B7" s="17" t="n">
        <v>7.7</v>
      </c>
    </row>
    <row r="8" customFormat="false" ht="15" hidden="false" customHeight="false" outlineLevel="0" collapsed="false">
      <c r="A8" s="0" t="s">
        <v>118</v>
      </c>
      <c r="B8" s="17" t="n">
        <v>0.1</v>
      </c>
    </row>
    <row r="9" customFormat="false" ht="15" hidden="false" customHeight="false" outlineLevel="0" collapsed="false">
      <c r="A9" s="0" t="s">
        <v>119</v>
      </c>
      <c r="B9" s="17" t="n">
        <v>0.9</v>
      </c>
    </row>
    <row r="10" customFormat="false" ht="15" hidden="false" customHeight="false" outlineLevel="0" collapsed="false">
      <c r="A10" s="0" t="s">
        <v>120</v>
      </c>
      <c r="B10" s="17" t="n">
        <v>0</v>
      </c>
    </row>
    <row r="11" customFormat="false" ht="15" hidden="false" customHeight="false" outlineLevel="0" collapsed="false">
      <c r="A11" s="3" t="s">
        <v>121</v>
      </c>
      <c r="B11" s="19" t="n">
        <f aca="false">SUM(B5:B10)</f>
        <v>9.3</v>
      </c>
    </row>
    <row r="12" customFormat="false" ht="15" hidden="false" customHeight="false" outlineLevel="0" collapsed="false">
      <c r="A12" s="0" t="s">
        <v>122</v>
      </c>
      <c r="B12" s="20" t="n">
        <f aca="false">B7/B11</f>
        <v>0.827956989247312</v>
      </c>
    </row>
    <row r="14" customFormat="false" ht="15" hidden="false" customHeight="false" outlineLevel="0" collapsed="false">
      <c r="A14" s="4" t="s">
        <v>123</v>
      </c>
      <c r="B14" s="4" t="s">
        <v>41</v>
      </c>
      <c r="C14" s="4"/>
      <c r="D14" s="4"/>
      <c r="E14" s="4"/>
      <c r="F14" s="4" t="s">
        <v>39</v>
      </c>
    </row>
    <row r="15" customFormat="false" ht="15" hidden="false" customHeight="false" outlineLevel="0" collapsed="false">
      <c r="A15" s="0" t="s">
        <v>124</v>
      </c>
      <c r="B15" s="17" t="n">
        <v>6.24</v>
      </c>
      <c r="F15" s="0" t="s">
        <v>125</v>
      </c>
    </row>
    <row r="16" customFormat="false" ht="15" hidden="false" customHeight="false" outlineLevel="0" collapsed="false">
      <c r="A16" s="0" t="s">
        <v>126</v>
      </c>
      <c r="B16" s="17" t="n">
        <v>0.46</v>
      </c>
    </row>
    <row r="17" customFormat="false" ht="15" hidden="false" customHeight="false" outlineLevel="0" collapsed="false">
      <c r="A17" s="0" t="s">
        <v>119</v>
      </c>
      <c r="B17" s="17" t="n">
        <v>0.84</v>
      </c>
    </row>
    <row r="18" customFormat="false" ht="15" hidden="false" customHeight="false" outlineLevel="0" collapsed="false">
      <c r="A18" s="0" t="s">
        <v>127</v>
      </c>
      <c r="B18" s="17" t="n">
        <v>0.26</v>
      </c>
    </row>
    <row r="19" customFormat="false" ht="15" hidden="false" customHeight="false" outlineLevel="0" collapsed="false">
      <c r="A19" s="0" t="s">
        <v>128</v>
      </c>
      <c r="B19" s="17" t="n">
        <v>0.08</v>
      </c>
    </row>
    <row r="20" customFormat="false" ht="15" hidden="false" customHeight="false" outlineLevel="0" collapsed="false">
      <c r="A20" s="0" t="s">
        <v>129</v>
      </c>
      <c r="B20" s="17" t="n">
        <v>0.54</v>
      </c>
    </row>
    <row r="21" customFormat="false" ht="15" hidden="false" customHeight="false" outlineLevel="0" collapsed="false">
      <c r="A21" s="0" t="s">
        <v>114</v>
      </c>
      <c r="B21" s="17" t="n">
        <v>0.06</v>
      </c>
    </row>
    <row r="22" customFormat="false" ht="15" hidden="false" customHeight="false" outlineLevel="0" collapsed="false">
      <c r="A22" s="0" t="s">
        <v>120</v>
      </c>
      <c r="B22" s="17" t="n">
        <v>0.29</v>
      </c>
    </row>
    <row r="23" customFormat="false" ht="15" hidden="false" customHeight="false" outlineLevel="0" collapsed="false">
      <c r="A23" s="3" t="s">
        <v>121</v>
      </c>
      <c r="B23" s="21" t="n">
        <f aca="false">SUM(B15:B22)</f>
        <v>8.77</v>
      </c>
    </row>
    <row r="24" customFormat="false" ht="15" hidden="false" customHeight="false" outlineLevel="0" collapsed="false">
      <c r="A24" s="0" t="s">
        <v>130</v>
      </c>
      <c r="B24" s="20" t="n">
        <f aca="false">(B15+B16+B19)/B23</f>
        <v>0.77309007981756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6" t="s">
        <v>131</v>
      </c>
    </row>
    <row r="2" customFormat="false" ht="15" hidden="false" customHeight="false" outlineLevel="0" collapsed="false">
      <c r="A2" s="7" t="s">
        <v>132</v>
      </c>
    </row>
    <row r="4" customFormat="false" ht="15" hidden="false" customHeight="false" outlineLevel="0" collapsed="false">
      <c r="A4" s="4" t="s">
        <v>133</v>
      </c>
      <c r="B4" s="4" t="s">
        <v>134</v>
      </c>
      <c r="C4" s="4" t="s">
        <v>135</v>
      </c>
      <c r="D4" s="4" t="s">
        <v>136</v>
      </c>
      <c r="E4" s="4"/>
      <c r="F4" s="4" t="s">
        <v>137</v>
      </c>
    </row>
    <row r="5" customFormat="false" ht="15" hidden="false" customHeight="false" outlineLevel="0" collapsed="false">
      <c r="A5" s="22" t="s">
        <v>138</v>
      </c>
      <c r="B5" s="23" t="n">
        <v>556999</v>
      </c>
      <c r="C5" s="23" t="n">
        <v>1220750</v>
      </c>
      <c r="D5" s="24" t="n">
        <f aca="false">B5/C5</f>
        <v>0.456276059799304</v>
      </c>
      <c r="E5" s="22"/>
      <c r="F5" s="25" t="s">
        <v>139</v>
      </c>
    </row>
    <row r="6" customFormat="false" ht="15" hidden="false" customHeight="false" outlineLevel="0" collapsed="false">
      <c r="A6" s="22" t="s">
        <v>140</v>
      </c>
      <c r="B6" s="23" t="n">
        <v>34.4</v>
      </c>
      <c r="C6" s="23" t="n">
        <v>29.2</v>
      </c>
      <c r="D6" s="24" t="n">
        <f aca="false">B6/C6</f>
        <v>1.17808219178082</v>
      </c>
      <c r="E6" s="22"/>
      <c r="F6" s="25" t="s">
        <v>141</v>
      </c>
    </row>
    <row r="7" customFormat="false" ht="15" hidden="false" customHeight="false" outlineLevel="0" collapsed="false">
      <c r="A7" s="22" t="s">
        <v>142</v>
      </c>
      <c r="B7" s="23" t="n">
        <v>8.7</v>
      </c>
      <c r="C7" s="23" t="n">
        <v>7.88</v>
      </c>
      <c r="D7" s="24" t="n">
        <f aca="false">B7/C7</f>
        <v>1.10406091370558</v>
      </c>
      <c r="E7" s="22"/>
      <c r="F7" s="25" t="s">
        <v>143</v>
      </c>
    </row>
    <row r="8" customFormat="false" ht="15" hidden="false" customHeight="false" outlineLevel="0" collapsed="false">
      <c r="A8" s="26" t="s">
        <v>144</v>
      </c>
      <c r="B8" s="22"/>
      <c r="C8" s="22"/>
      <c r="D8" s="24" t="n">
        <f aca="false">D5*D6*D7</f>
        <v>0.593466636433209</v>
      </c>
      <c r="E8" s="22"/>
      <c r="F8" s="22"/>
    </row>
    <row r="9" customFormat="false" ht="15" hidden="false" customHeight="false" outlineLevel="0" collapsed="false">
      <c r="A9" s="22" t="s">
        <v>145</v>
      </c>
      <c r="B9" s="22"/>
      <c r="C9" s="22"/>
      <c r="D9" s="27" t="n">
        <f aca="false">D8*573.43</f>
        <v>340.311573329895</v>
      </c>
      <c r="E9" s="22" t="s">
        <v>65</v>
      </c>
      <c r="F9" s="22"/>
    </row>
    <row r="11" customFormat="false" ht="15" hidden="false" customHeight="false" outlineLevel="0" collapsed="false">
      <c r="A11" s="3" t="s">
        <v>146</v>
      </c>
    </row>
    <row r="12" customFormat="false" ht="15" hidden="false" customHeight="false" outlineLevel="0" collapsed="false">
      <c r="A12" s="0" t="s">
        <v>147</v>
      </c>
    </row>
    <row r="13" customFormat="false" ht="15" hidden="false" customHeight="false" outlineLevel="0" collapsed="false">
      <c r="A13" s="0" t="s">
        <v>148</v>
      </c>
    </row>
    <row r="14" customFormat="false" ht="15" hidden="false" customHeight="false" outlineLevel="0" collapsed="false">
      <c r="A14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2026-09-14T07:02:46Z</dcterms:created>
  <dc:creator>openpyxl</dc:creator>
  <dc:description/>
  <dc:language>en-GB</dc:language>
  <cp:lastModifiedBy/>
  <dcterms:modified xsi:type="dcterms:W3CDTF">2026-09-14T07:02:46Z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